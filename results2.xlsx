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Ex9.xml" ContentType="application/vnd.ms-office.chartex+xml"/>
  <Override PartName="/xl/charts/style9.xml" ContentType="application/vnd.ms-office.chartstyle+xml"/>
  <Override PartName="/xl/charts/colors9.xml" ContentType="application/vnd.ms-office.chartcolorstyle+xml"/>
  <Override PartName="/xl/charts/chartEx10.xml" ContentType="application/vnd.ms-office.chartex+xml"/>
  <Override PartName="/xl/charts/style10.xml" ContentType="application/vnd.ms-office.chartstyle+xml"/>
  <Override PartName="/xl/charts/colors10.xml" ContentType="application/vnd.ms-office.chartcolorstyle+xml"/>
  <Override PartName="/xl/charts/chartEx11.xml" ContentType="application/vnd.ms-office.chartex+xml"/>
  <Override PartName="/xl/charts/style11.xml" ContentType="application/vnd.ms-office.chartstyle+xml"/>
  <Override PartName="/xl/charts/colors11.xml" ContentType="application/vnd.ms-office.chartcolorstyle+xml"/>
  <Override PartName="/xl/charts/chartEx12.xml" ContentType="application/vnd.ms-office.chartex+xml"/>
  <Override PartName="/xl/charts/style12.xml" ContentType="application/vnd.ms-office.chartstyle+xml"/>
  <Override PartName="/xl/charts/colors12.xml" ContentType="application/vnd.ms-office.chartcolorstyle+xml"/>
  <Override PartName="/xl/charts/chartEx13.xml" ContentType="application/vnd.ms-office.chartex+xml"/>
  <Override PartName="/xl/charts/style13.xml" ContentType="application/vnd.ms-office.chartstyle+xml"/>
  <Override PartName="/xl/charts/colors13.xml" ContentType="application/vnd.ms-office.chartcolorstyle+xml"/>
  <Override PartName="/xl/charts/chartEx14.xml" ContentType="application/vnd.ms-office.chartex+xml"/>
  <Override PartName="/xl/charts/style14.xml" ContentType="application/vnd.ms-office.chartstyle+xml"/>
  <Override PartName="/xl/charts/colors14.xml" ContentType="application/vnd.ms-office.chartcolorstyle+xml"/>
  <Override PartName="/xl/charts/chartEx15.xml" ContentType="application/vnd.ms-office.chartex+xml"/>
  <Override PartName="/xl/charts/style15.xml" ContentType="application/vnd.ms-office.chartstyle+xml"/>
  <Override PartName="/xl/charts/colors15.xml" ContentType="application/vnd.ms-office.chartcolorstyle+xml"/>
  <Override PartName="/xl/charts/chartEx16.xml" ContentType="application/vnd.ms-office.chartex+xml"/>
  <Override PartName="/xl/charts/style16.xml" ContentType="application/vnd.ms-office.chartstyle+xml"/>
  <Override PartName="/xl/charts/colors16.xml" ContentType="application/vnd.ms-office.chartcolorstyle+xml"/>
  <Override PartName="/xl/charts/chartEx17.xml" ContentType="application/vnd.ms-office.chartex+xml"/>
  <Override PartName="/xl/charts/style17.xml" ContentType="application/vnd.ms-office.chartstyle+xml"/>
  <Override PartName="/xl/charts/colors17.xml" ContentType="application/vnd.ms-office.chartcolorstyle+xml"/>
  <Override PartName="/xl/charts/chartEx18.xml" ContentType="application/vnd.ms-office.chartex+xml"/>
  <Override PartName="/xl/charts/style18.xml" ContentType="application/vnd.ms-office.chartstyle+xml"/>
  <Override PartName="/xl/charts/colors18.xml" ContentType="application/vnd.ms-office.chartcolorstyle+xml"/>
  <Override PartName="/xl/charts/chartEx19.xml" ContentType="application/vnd.ms-office.chartex+xml"/>
  <Override PartName="/xl/charts/style19.xml" ContentType="application/vnd.ms-office.chartstyle+xml"/>
  <Override PartName="/xl/charts/colors19.xml" ContentType="application/vnd.ms-office.chartcolorstyle+xml"/>
  <Override PartName="/xl/charts/chartEx20.xml" ContentType="application/vnd.ms-office.chartex+xml"/>
  <Override PartName="/xl/charts/style20.xml" ContentType="application/vnd.ms-office.chartstyle+xml"/>
  <Override PartName="/xl/charts/colors20.xml" ContentType="application/vnd.ms-office.chartcolorstyle+xml"/>
  <Override PartName="/xl/charts/chartEx21.xml" ContentType="application/vnd.ms-office.chartex+xml"/>
  <Override PartName="/xl/charts/style21.xml" ContentType="application/vnd.ms-office.chartstyle+xml"/>
  <Override PartName="/xl/charts/colors21.xml" ContentType="application/vnd.ms-office.chartcolorstyle+xml"/>
  <Override PartName="/xl/charts/chartEx22.xml" ContentType="application/vnd.ms-office.chartex+xml"/>
  <Override PartName="/xl/charts/style22.xml" ContentType="application/vnd.ms-office.chartstyle+xml"/>
  <Override PartName="/xl/charts/colors22.xml" ContentType="application/vnd.ms-office.chartcolorstyle+xml"/>
  <Override PartName="/xl/charts/chartEx23.xml" ContentType="application/vnd.ms-office.chartex+xml"/>
  <Override PartName="/xl/charts/style23.xml" ContentType="application/vnd.ms-office.chartstyle+xml"/>
  <Override PartName="/xl/charts/colors23.xml" ContentType="application/vnd.ms-office.chartcolorstyle+xml"/>
  <Override PartName="/xl/charts/chartEx24.xml" ContentType="application/vnd.ms-office.chartex+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25.xml" ContentType="application/vnd.ms-office.chartstyle+xml"/>
  <Override PartName="/xl/charts/colors25.xml" ContentType="application/vnd.ms-office.chartcolorstyle+xml"/>
  <Override PartName="/xl/charts/chart2.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4.xml" ContentType="application/vnd.openxmlformats-officedocument.drawing+xml"/>
  <Override PartName="/xl/charts/chartEx25.xml" ContentType="application/vnd.ms-office.chartex+xml"/>
  <Override PartName="/xl/charts/style27.xml" ContentType="application/vnd.ms-office.chartstyle+xml"/>
  <Override PartName="/xl/charts/colors27.xml" ContentType="application/vnd.ms-office.chartcolorstyle+xml"/>
  <Override PartName="/xl/charts/chartEx26.xml" ContentType="application/vnd.ms-office.chartex+xml"/>
  <Override PartName="/xl/charts/style28.xml" ContentType="application/vnd.ms-office.chartstyle+xml"/>
  <Override PartName="/xl/charts/colors28.xml" ContentType="application/vnd.ms-office.chartcolorstyle+xml"/>
  <Override PartName="/xl/charts/chartEx27.xml" ContentType="application/vnd.ms-office.chartex+xml"/>
  <Override PartName="/xl/charts/style29.xml" ContentType="application/vnd.ms-office.chartstyle+xml"/>
  <Override PartName="/xl/charts/colors29.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0.xml" ContentType="application/vnd.ms-office.chartstyle+xml"/>
  <Override PartName="/xl/charts/colors30.xml" ContentType="application/vnd.ms-office.chartcolorstyle+xml"/>
  <Override PartName="/xl/charts/chart4.xml" ContentType="application/vnd.openxmlformats-officedocument.drawingml.chart+xml"/>
  <Override PartName="/xl/charts/style31.xml" ContentType="application/vnd.ms-office.chartstyle+xml"/>
  <Override PartName="/xl/charts/colors31.xml" ContentType="application/vnd.ms-office.chartcolorstyle+xml"/>
  <Override PartName="/xl/charts/chart5.xml" ContentType="application/vnd.openxmlformats-officedocument.drawingml.chart+xml"/>
  <Override PartName="/xl/charts/style32.xml" ContentType="application/vnd.ms-office.chartstyle+xml"/>
  <Override PartName="/xl/charts/colors32.xml" ContentType="application/vnd.ms-office.chartcolorstyle+xml"/>
  <Override PartName="/xl/charts/chart6.xml" ContentType="application/vnd.openxmlformats-officedocument.drawingml.chart+xml"/>
  <Override PartName="/xl/charts/style33.xml" ContentType="application/vnd.ms-office.chartstyle+xml"/>
  <Override PartName="/xl/charts/colors33.xml" ContentType="application/vnd.ms-office.chartcolorstyle+xml"/>
  <Override PartName="/xl/charts/chart7.xml" ContentType="application/vnd.openxmlformats-officedocument.drawingml.chart+xml"/>
  <Override PartName="/xl/charts/style34.xml" ContentType="application/vnd.ms-office.chartstyle+xml"/>
  <Override PartName="/xl/charts/colors34.xml" ContentType="application/vnd.ms-office.chartcolorstyle+xml"/>
  <Override PartName="/xl/charts/chart8.xml" ContentType="application/vnd.openxmlformats-officedocument.drawingml.chart+xml"/>
  <Override PartName="/xl/charts/style35.xml" ContentType="application/vnd.ms-office.chartstyle+xml"/>
  <Override PartName="/xl/charts/colors35.xml" ContentType="application/vnd.ms-office.chartcolorstyle+xml"/>
  <Override PartName="/xl/charts/chartEx28.xml" ContentType="application/vnd.ms-office.chartex+xml"/>
  <Override PartName="/xl/charts/style36.xml" ContentType="application/vnd.ms-office.chartstyle+xml"/>
  <Override PartName="/xl/charts/colors36.xml" ContentType="application/vnd.ms-office.chartcolorstyle+xml"/>
  <Override PartName="/xl/charts/chartEx29.xml" ContentType="application/vnd.ms-office.chartex+xml"/>
  <Override PartName="/xl/charts/style37.xml" ContentType="application/vnd.ms-office.chartstyle+xml"/>
  <Override PartName="/xl/charts/colors37.xml" ContentType="application/vnd.ms-office.chartcolorstyle+xml"/>
  <Override PartName="/xl/charts/chartEx30.xml" ContentType="application/vnd.ms-office.chartex+xml"/>
  <Override PartName="/xl/charts/style38.xml" ContentType="application/vnd.ms-office.chartstyle+xml"/>
  <Override PartName="/xl/charts/colors3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39.xml" ContentType="application/vnd.ms-office.chartstyle+xml"/>
  <Override PartName="/xl/charts/colors39.xml" ContentType="application/vnd.ms-office.chartcolorstyle+xml"/>
  <Override PartName="/xl/charts/chart10.xml" ContentType="application/vnd.openxmlformats-officedocument.drawingml.chart+xml"/>
  <Override PartName="/xl/charts/style40.xml" ContentType="application/vnd.ms-office.chartstyle+xml"/>
  <Override PartName="/xl/charts/colors40.xml" ContentType="application/vnd.ms-office.chartcolorstyle+xml"/>
  <Override PartName="/xl/charts/chart11.xml" ContentType="application/vnd.openxmlformats-officedocument.drawingml.chart+xml"/>
  <Override PartName="/xl/charts/style41.xml" ContentType="application/vnd.ms-office.chartstyle+xml"/>
  <Override PartName="/xl/charts/colors41.xml" ContentType="application/vnd.ms-office.chartcolorstyle+xml"/>
  <Override PartName="/xl/charts/chart12.xml" ContentType="application/vnd.openxmlformats-officedocument.drawingml.chart+xml"/>
  <Override PartName="/xl/charts/style42.xml" ContentType="application/vnd.ms-office.chartstyle+xml"/>
  <Override PartName="/xl/charts/colors42.xml" ContentType="application/vnd.ms-office.chartcolorstyle+xml"/>
  <Override PartName="/xl/charts/chartEx31.xml" ContentType="application/vnd.ms-office.chartex+xml"/>
  <Override PartName="/xl/charts/style43.xml" ContentType="application/vnd.ms-office.chartstyle+xml"/>
  <Override PartName="/xl/charts/colors43.xml" ContentType="application/vnd.ms-office.chartcolorstyle+xml"/>
  <Override PartName="/xl/charts/chartEx32.xml" ContentType="application/vnd.ms-office.chartex+xml"/>
  <Override PartName="/xl/charts/style44.xml" ContentType="application/vnd.ms-office.chartstyle+xml"/>
  <Override PartName="/xl/charts/colors44.xml" ContentType="application/vnd.ms-office.chartcolorstyle+xml"/>
  <Override PartName="/xl/charts/chartEx33.xml" ContentType="application/vnd.ms-office.chartex+xml"/>
  <Override PartName="/xl/charts/style45.xml" ContentType="application/vnd.ms-office.chartstyle+xml"/>
  <Override PartName="/xl/charts/colors4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salva/Seafile/test/TexTouch/2026/revue NL test case execution, software quality journal/results/"/>
    </mc:Choice>
  </mc:AlternateContent>
  <xr:revisionPtr revIDLastSave="0" documentId="13_ncr:1_{91D9E381-C9D8-D747-90C0-D9AEBE4DBCA8}" xr6:coauthVersionLast="47" xr6:coauthVersionMax="47" xr10:uidLastSave="{00000000-0000-0000-0000-000000000000}"/>
  <bookViews>
    <workbookView xWindow="120" yWindow="800" windowWidth="27640" windowHeight="17400" activeTab="1" xr2:uid="{AF79CB8A-B260-F644-8BD2-B2078ED763AB}"/>
  </bookViews>
  <sheets>
    <sheet name="effectiveness V1" sheetId="1" r:id="rId1"/>
    <sheet name="effectiveness IMG" sheetId="9" r:id="rId2"/>
    <sheet name="code gen" sheetId="10" r:id="rId3"/>
    <sheet name="clarity" sheetId="5" r:id="rId4"/>
    <sheet name="consistency" sheetId="2" r:id="rId5"/>
    <sheet name="soundness" sheetId="3" r:id="rId6"/>
    <sheet name="laxness" sheetId="6" r:id="rId7"/>
    <sheet name="time" sheetId="7" r:id="rId8"/>
    <sheet name="time2 (enase)" sheetId="11" r:id="rId9"/>
  </sheets>
  <definedNames>
    <definedName name="_xlchart.v1.0" hidden="1">'effectiveness V1'!$B$1</definedName>
    <definedName name="_xlchart.v1.1" hidden="1">'effectiveness V1'!$B$2:$B$44</definedName>
    <definedName name="_xlchart.v1.10" hidden="1">'effectiveness V1'!$L$1</definedName>
    <definedName name="_xlchart.v1.100" hidden="1">'effectiveness V1'!$AP$1</definedName>
    <definedName name="_xlchart.v1.101" hidden="1">'effectiveness V1'!$AP$2:$AP$44</definedName>
    <definedName name="_xlchart.v1.102" hidden="1">'effectiveness V1'!$AQ$1</definedName>
    <definedName name="_xlchart.v1.103" hidden="1">'effectiveness V1'!$AQ$2:$AQ$44</definedName>
    <definedName name="_xlchart.v1.104" hidden="1">'effectiveness V1'!$AR$1</definedName>
    <definedName name="_xlchart.v1.105" hidden="1">'effectiveness V1'!$AR$2:$AR$44</definedName>
    <definedName name="_xlchart.v1.106" hidden="1">'effectiveness V1'!$AX$1</definedName>
    <definedName name="_xlchart.v1.107" hidden="1">'effectiveness V1'!$AX$2:$AX$44</definedName>
    <definedName name="_xlchart.v1.108" hidden="1">'effectiveness V1'!$AY$1</definedName>
    <definedName name="_xlchart.v1.109" hidden="1">'effectiveness V1'!$AY$2:$AY$44</definedName>
    <definedName name="_xlchart.v1.11" hidden="1">'effectiveness V1'!$L$2:$L$44</definedName>
    <definedName name="_xlchart.v1.110" hidden="1">'effectiveness V1'!$AZ$1</definedName>
    <definedName name="_xlchart.v1.111" hidden="1">'effectiveness V1'!$AZ$2:$AZ$44</definedName>
    <definedName name="_xlchart.v1.112" hidden="1">'effectiveness IMG'!$AG$5</definedName>
    <definedName name="_xlchart.v1.113" hidden="1">'effectiveness IMG'!$AG$6:$AG$50</definedName>
    <definedName name="_xlchart.v1.114" hidden="1">'effectiveness IMG'!$AH$5</definedName>
    <definedName name="_xlchart.v1.115" hidden="1">'effectiveness IMG'!$AH$6:$AH$50</definedName>
    <definedName name="_xlchart.v1.116" hidden="1">'effectiveness IMG'!$AI$5</definedName>
    <definedName name="_xlchart.v1.117" hidden="1">'effectiveness IMG'!$AI$6:$AI$50</definedName>
    <definedName name="_xlchart.v1.118" hidden="1">'effectiveness IMG'!$AL$5</definedName>
    <definedName name="_xlchart.v1.119" hidden="1">'effectiveness IMG'!$AL$6:$AL$50</definedName>
    <definedName name="_xlchart.v1.12" hidden="1">'effectiveness V1'!$R$1</definedName>
    <definedName name="_xlchart.v1.120" hidden="1">'effectiveness IMG'!$AM$5</definedName>
    <definedName name="_xlchart.v1.121" hidden="1">'effectiveness IMG'!$AM$6:$AM$50</definedName>
    <definedName name="_xlchart.v1.122" hidden="1">'effectiveness IMG'!$AN$5</definedName>
    <definedName name="_xlchart.v1.123" hidden="1">'effectiveness IMG'!$AN$6:$AN$50</definedName>
    <definedName name="_xlchart.v1.124" hidden="1">'effectiveness IMG'!$W$5</definedName>
    <definedName name="_xlchart.v1.125" hidden="1">'effectiveness IMG'!$W$6:$W$50</definedName>
    <definedName name="_xlchart.v1.126" hidden="1">'effectiveness IMG'!$X$5</definedName>
    <definedName name="_xlchart.v1.127" hidden="1">'effectiveness IMG'!$X$6:$X$50</definedName>
    <definedName name="_xlchart.v1.128" hidden="1">'effectiveness IMG'!$Y$5</definedName>
    <definedName name="_xlchart.v1.129" hidden="1">'effectiveness IMG'!$Y$6:$Y$50</definedName>
    <definedName name="_xlchart.v1.13" hidden="1">'effectiveness V1'!$R$2:$R$44</definedName>
    <definedName name="_xlchart.v1.130" hidden="1">'effectiveness IMG'!$AQ$5</definedName>
    <definedName name="_xlchart.v1.131" hidden="1">'effectiveness IMG'!$AQ$6:$AQ$50</definedName>
    <definedName name="_xlchart.v1.132" hidden="1">'effectiveness IMG'!$AR$5</definedName>
    <definedName name="_xlchart.v1.133" hidden="1">'effectiveness IMG'!$AR$6:$AR$50</definedName>
    <definedName name="_xlchart.v1.134" hidden="1">'effectiveness IMG'!$AS$5</definedName>
    <definedName name="_xlchart.v1.135" hidden="1">'effectiveness IMG'!$AS$6:$AS$50</definedName>
    <definedName name="_xlchart.v1.136" hidden="1">'effectiveness IMG'!$AV$5</definedName>
    <definedName name="_xlchart.v1.137" hidden="1">'effectiveness IMG'!$AV$6:$AV$50</definedName>
    <definedName name="_xlchart.v1.138" hidden="1">'effectiveness IMG'!$AW$5</definedName>
    <definedName name="_xlchart.v1.139" hidden="1">'effectiveness IMG'!$AW$6:$AW$50</definedName>
    <definedName name="_xlchart.v1.14" hidden="1">'effectiveness V1'!$T$1</definedName>
    <definedName name="_xlchart.v1.140" hidden="1">'effectiveness IMG'!$AX$5</definedName>
    <definedName name="_xlchart.v1.141" hidden="1">'effectiveness IMG'!$AX$6:$AX$50</definedName>
    <definedName name="_xlchart.v1.142" hidden="1">'effectiveness IMG'!$AB$5</definedName>
    <definedName name="_xlchart.v1.143" hidden="1">'effectiveness IMG'!$AB$6:$AB$50</definedName>
    <definedName name="_xlchart.v1.144" hidden="1">'effectiveness IMG'!$AC$5</definedName>
    <definedName name="_xlchart.v1.145" hidden="1">'effectiveness IMG'!$AC$6:$AC$50</definedName>
    <definedName name="_xlchart.v1.146" hidden="1">'effectiveness IMG'!$AD$5</definedName>
    <definedName name="_xlchart.v1.147" hidden="1">'effectiveness IMG'!$AD$6:$AD$50</definedName>
    <definedName name="_xlchart.v1.148" hidden="1">consistency!$B$136</definedName>
    <definedName name="_xlchart.v1.149" hidden="1">consistency!$B$137:$B$152</definedName>
    <definedName name="_xlchart.v1.15" hidden="1">'effectiveness V1'!$T$2:$T$44</definedName>
    <definedName name="_xlchart.v1.150" hidden="1">consistency!$C$136</definedName>
    <definedName name="_xlchart.v1.151" hidden="1">consistency!$C$137:$C$152</definedName>
    <definedName name="_xlchart.v1.152" hidden="1">consistency!$D$136</definedName>
    <definedName name="_xlchart.v1.153" hidden="1">consistency!$D$137:$D$152</definedName>
    <definedName name="_xlchart.v1.154" hidden="1">consistency!$B$100:$B$115</definedName>
    <definedName name="_xlchart.v1.155" hidden="1">consistency!$B$98:$B$98</definedName>
    <definedName name="_xlchart.v1.156" hidden="1">consistency!$C$100:$C$115</definedName>
    <definedName name="_xlchart.v1.157" hidden="1">consistency!$C$98:$C$98</definedName>
    <definedName name="_xlchart.v1.158" hidden="1">consistency!$D$100:$D$115</definedName>
    <definedName name="_xlchart.v1.159" hidden="1">consistency!$D$98:$D$98</definedName>
    <definedName name="_xlchart.v1.16" hidden="1">'effectiveness V1'!$AH$1</definedName>
    <definedName name="_xlchart.v1.160" hidden="1">consistency!$B$118</definedName>
    <definedName name="_xlchart.v1.161" hidden="1">consistency!$B$119:$B$134</definedName>
    <definedName name="_xlchart.v1.162" hidden="1">consistency!$C$118</definedName>
    <definedName name="_xlchart.v1.163" hidden="1">consistency!$C$119:$C$134</definedName>
    <definedName name="_xlchart.v1.164" hidden="1">consistency!$D$118</definedName>
    <definedName name="_xlchart.v1.165" hidden="1">consistency!$D$119:$D$134</definedName>
    <definedName name="_xlchart.v1.166" hidden="1">soundness!$P$135</definedName>
    <definedName name="_xlchart.v1.167" hidden="1">soundness!$P$136:$P$200</definedName>
    <definedName name="_xlchart.v1.168" hidden="1">soundness!$Q$135</definedName>
    <definedName name="_xlchart.v1.169" hidden="1">soundness!$Q$136:$Q$200</definedName>
    <definedName name="_xlchart.v1.17" hidden="1">'effectiveness V1'!$AH$2:$AH$44</definedName>
    <definedName name="_xlchart.v1.170" hidden="1">soundness!$R$135</definedName>
    <definedName name="_xlchart.v1.171" hidden="1">soundness!$R$136:$R$200</definedName>
    <definedName name="_xlchart.v1.172" hidden="1">soundness!$S$135</definedName>
    <definedName name="_xlchart.v1.173" hidden="1">soundness!$S$136:$S$200</definedName>
    <definedName name="_xlchart.v1.174" hidden="1">soundness!$AB$135</definedName>
    <definedName name="_xlchart.v1.175" hidden="1">soundness!$AB$136:$AB$200</definedName>
    <definedName name="_xlchart.v1.176" hidden="1">soundness!$AC$135</definedName>
    <definedName name="_xlchart.v1.177" hidden="1">soundness!$AC$136:$AC$200</definedName>
    <definedName name="_xlchart.v1.178" hidden="1">soundness!$AD$135</definedName>
    <definedName name="_xlchart.v1.179" hidden="1">soundness!$AD$136:$AD$200</definedName>
    <definedName name="_xlchart.v1.18" hidden="1">'effectiveness V1'!$AI$1</definedName>
    <definedName name="_xlchart.v1.180" hidden="1">soundness!$AE$135</definedName>
    <definedName name="_xlchart.v1.181" hidden="1">soundness!$AE$136:$AE$200</definedName>
    <definedName name="_xlchart.v1.182" hidden="1">soundness!$B$135</definedName>
    <definedName name="_xlchart.v1.183" hidden="1">soundness!$B$136:$B$200</definedName>
    <definedName name="_xlchart.v1.184" hidden="1">soundness!$C$135</definedName>
    <definedName name="_xlchart.v1.185" hidden="1">soundness!$C$136:$C$200</definedName>
    <definedName name="_xlchart.v1.186" hidden="1">soundness!$D$135</definedName>
    <definedName name="_xlchart.v1.187" hidden="1">soundness!$D$136:$D$200</definedName>
    <definedName name="_xlchart.v1.188" hidden="1">soundness!$E$135</definedName>
    <definedName name="_xlchart.v1.189" hidden="1">soundness!$E$136:$E$200</definedName>
    <definedName name="_xlchart.v1.19" hidden="1">'effectiveness V1'!$AI$2:$AI$44</definedName>
    <definedName name="_xlchart.v1.190" hidden="1">laxness!$E$106</definedName>
    <definedName name="_xlchart.v1.191" hidden="1">laxness!$E$107:$E$150</definedName>
    <definedName name="_xlchart.v1.192" hidden="1">laxness!$F$106</definedName>
    <definedName name="_xlchart.v1.193" hidden="1">laxness!$F$107:$F$150</definedName>
    <definedName name="_xlchart.v1.194" hidden="1">laxness!$P$106</definedName>
    <definedName name="_xlchart.v1.195" hidden="1">laxness!$P$107:$P$150</definedName>
    <definedName name="_xlchart.v1.196" hidden="1">laxness!$Q$106</definedName>
    <definedName name="_xlchart.v1.197" hidden="1">laxness!$Q$107:$Q$150</definedName>
    <definedName name="_xlchart.v1.198" hidden="1">laxness!$K$106</definedName>
    <definedName name="_xlchart.v1.199" hidden="1">laxness!$K$107:$K$150</definedName>
    <definedName name="_xlchart.v1.2" hidden="1">'effectiveness V1'!$C$1</definedName>
    <definedName name="_xlchart.v1.20" hidden="1">'effectiveness V1'!$AJ$1</definedName>
    <definedName name="_xlchart.v1.200" hidden="1">laxness!$L$106</definedName>
    <definedName name="_xlchart.v1.201" hidden="1">laxness!$L$107:$L$150</definedName>
    <definedName name="_xlchart.v1.21" hidden="1">'effectiveness V1'!$AJ$2:$AJ$44</definedName>
    <definedName name="_xlchart.v1.22" hidden="1">'effectiveness V1'!$AP$1</definedName>
    <definedName name="_xlchart.v1.23" hidden="1">'effectiveness V1'!$AP$2:$AP$44</definedName>
    <definedName name="_xlchart.v1.24" hidden="1">'effectiveness V1'!$AQ$1</definedName>
    <definedName name="_xlchart.v1.25" hidden="1">'effectiveness V1'!$AQ$2:$AQ$44</definedName>
    <definedName name="_xlchart.v1.26" hidden="1">'effectiveness V1'!$AR$1</definedName>
    <definedName name="_xlchart.v1.27" hidden="1">'effectiveness V1'!$AR$2:$AR$44</definedName>
    <definedName name="_xlchart.v1.28" hidden="1">'effectiveness V1'!$BF$1</definedName>
    <definedName name="_xlchart.v1.29" hidden="1">'effectiveness V1'!$BF$2:$BF$44</definedName>
    <definedName name="_xlchart.v1.3" hidden="1">'effectiveness V1'!$C$2:$C$44</definedName>
    <definedName name="_xlchart.v1.30" hidden="1">'effectiveness V1'!$BG$1</definedName>
    <definedName name="_xlchart.v1.31" hidden="1">'effectiveness V1'!$BG$2:$BG$44</definedName>
    <definedName name="_xlchart.v1.32" hidden="1">'effectiveness V1'!$BH$1</definedName>
    <definedName name="_xlchart.v1.33" hidden="1">'effectiveness V1'!$BH$2:$BH$44</definedName>
    <definedName name="_xlchart.v1.34" hidden="1">'effectiveness V1'!$AX$1</definedName>
    <definedName name="_xlchart.v1.35" hidden="1">'effectiveness V1'!$AX$2:$AX$44</definedName>
    <definedName name="_xlchart.v1.36" hidden="1">'effectiveness V1'!$AY$1</definedName>
    <definedName name="_xlchart.v1.37" hidden="1">'effectiveness V1'!$AY$2:$AY$44</definedName>
    <definedName name="_xlchart.v1.38" hidden="1">'effectiveness V1'!$AZ$1</definedName>
    <definedName name="_xlchart.v1.39" hidden="1">'effectiveness V1'!$AZ$2:$AZ$44</definedName>
    <definedName name="_xlchart.v1.4" hidden="1">'effectiveness V1'!$D$1</definedName>
    <definedName name="_xlchart.v1.40" hidden="1">'effectiveness V1'!$BN$1</definedName>
    <definedName name="_xlchart.v1.41" hidden="1">'effectiveness V1'!$BN$2:$BN$44</definedName>
    <definedName name="_xlchart.v1.42" hidden="1">'effectiveness V1'!$BO$1</definedName>
    <definedName name="_xlchart.v1.43" hidden="1">'effectiveness V1'!$BO$2:$BO$44</definedName>
    <definedName name="_xlchart.v1.44" hidden="1">'effectiveness V1'!$BP$1</definedName>
    <definedName name="_xlchart.v1.45" hidden="1">'effectiveness V1'!$BP$2:$BP$44</definedName>
    <definedName name="_xlchart.v1.46" hidden="1">'effectiveness IMG'!$M$5</definedName>
    <definedName name="_xlchart.v1.47" hidden="1">'effectiveness IMG'!$M$6:$M$51</definedName>
    <definedName name="_xlchart.v1.48" hidden="1">'effectiveness IMG'!$N$5</definedName>
    <definedName name="_xlchart.v1.49" hidden="1">'effectiveness IMG'!$N$6:$N$51</definedName>
    <definedName name="_xlchart.v1.5" hidden="1">'effectiveness V1'!$D$2:$D$44</definedName>
    <definedName name="_xlchart.v1.50" hidden="1">'effectiveness IMG'!$O$5</definedName>
    <definedName name="_xlchart.v1.51" hidden="1">'effectiveness IMG'!$O$6:$O$51</definedName>
    <definedName name="_xlchart.v1.52" hidden="1">'effectiveness IMG'!$H$5</definedName>
    <definedName name="_xlchart.v1.53" hidden="1">'effectiveness IMG'!$H$6:$H$50</definedName>
    <definedName name="_xlchart.v1.54" hidden="1">'effectiveness IMG'!$I$5</definedName>
    <definedName name="_xlchart.v1.55" hidden="1">'effectiveness IMG'!$I$6:$I$50</definedName>
    <definedName name="_xlchart.v1.56" hidden="1">'effectiveness IMG'!$J$5</definedName>
    <definedName name="_xlchart.v1.57" hidden="1">'effectiveness IMG'!$J$6:$J$50</definedName>
    <definedName name="_xlchart.v1.58" hidden="1">'effectiveness V1'!$J$1</definedName>
    <definedName name="_xlchart.v1.59" hidden="1">'effectiveness V1'!$J$2:$J$44</definedName>
    <definedName name="_xlchart.v1.6" hidden="1">'effectiveness V1'!$J$1</definedName>
    <definedName name="_xlchart.v1.60" hidden="1">'effectiveness V1'!$K$1</definedName>
    <definedName name="_xlchart.v1.61" hidden="1">'effectiveness V1'!$K$2:$K$44</definedName>
    <definedName name="_xlchart.v1.62" hidden="1">'effectiveness V1'!$L$1</definedName>
    <definedName name="_xlchart.v1.63" hidden="1">'effectiveness V1'!$L$2:$L$44</definedName>
    <definedName name="_xlchart.v1.64" hidden="1">'effectiveness V1'!$BF$1</definedName>
    <definedName name="_xlchart.v1.65" hidden="1">'effectiveness V1'!$BF$2:$BF$44</definedName>
    <definedName name="_xlchart.v1.66" hidden="1">'effectiveness V1'!$BG$1</definedName>
    <definedName name="_xlchart.v1.67" hidden="1">'effectiveness V1'!$BG$2:$BG$44</definedName>
    <definedName name="_xlchart.v1.68" hidden="1">'effectiveness V1'!$BH$1</definedName>
    <definedName name="_xlchart.v1.69" hidden="1">'effectiveness V1'!$BH$2:$BH$44</definedName>
    <definedName name="_xlchart.v1.7" hidden="1">'effectiveness V1'!$J$2:$J$44</definedName>
    <definedName name="_xlchart.v1.70" hidden="1">'effectiveness IMG'!$B$5</definedName>
    <definedName name="_xlchart.v1.71" hidden="1">'effectiveness IMG'!$B$6:$B$50</definedName>
    <definedName name="_xlchart.v1.72" hidden="1">'effectiveness IMG'!$C$5</definedName>
    <definedName name="_xlchart.v1.73" hidden="1">'effectiveness IMG'!$C$6:$C$50</definedName>
    <definedName name="_xlchart.v1.74" hidden="1">'effectiveness IMG'!$D$5</definedName>
    <definedName name="_xlchart.v1.75" hidden="1">'effectiveness IMG'!$D$6:$D$50</definedName>
    <definedName name="_xlchart.v1.76" hidden="1">'effectiveness V1'!$AH$1</definedName>
    <definedName name="_xlchart.v1.77" hidden="1">'effectiveness V1'!$AH$2:$AH$44</definedName>
    <definedName name="_xlchart.v1.78" hidden="1">'effectiveness V1'!$AI$1</definedName>
    <definedName name="_xlchart.v1.79" hidden="1">'effectiveness V1'!$AI$2:$AI$44</definedName>
    <definedName name="_xlchart.v1.8" hidden="1">'effectiveness V1'!$K$1</definedName>
    <definedName name="_xlchart.v1.80" hidden="1">'effectiveness V1'!$AJ$1</definedName>
    <definedName name="_xlchart.v1.81" hidden="1">'effectiveness V1'!$AJ$2:$AJ$44</definedName>
    <definedName name="_xlchart.v1.82" hidden="1">'effectiveness IMG'!$M$5</definedName>
    <definedName name="_xlchart.v1.83" hidden="1">'effectiveness IMG'!$M$6:$M$51</definedName>
    <definedName name="_xlchart.v1.84" hidden="1">'effectiveness IMG'!$N$5</definedName>
    <definedName name="_xlchart.v1.85" hidden="1">'effectiveness IMG'!$N$6:$N$51</definedName>
    <definedName name="_xlchart.v1.86" hidden="1">'effectiveness IMG'!$O$5</definedName>
    <definedName name="_xlchart.v1.87" hidden="1">'effectiveness IMG'!$O$6:$O$51</definedName>
    <definedName name="_xlchart.v1.88" hidden="1">'effectiveness V1'!$B$1</definedName>
    <definedName name="_xlchart.v1.89" hidden="1">'effectiveness V1'!$B$2:$B$44</definedName>
    <definedName name="_xlchart.v1.9" hidden="1">'effectiveness V1'!$K$2:$K$44</definedName>
    <definedName name="_xlchart.v1.90" hidden="1">'effectiveness V1'!$C$1</definedName>
    <definedName name="_xlchart.v1.91" hidden="1">'effectiveness V1'!$C$2:$C$44</definedName>
    <definedName name="_xlchart.v1.92" hidden="1">'effectiveness V1'!$D$1</definedName>
    <definedName name="_xlchart.v1.93" hidden="1">'effectiveness V1'!$D$2:$D$44</definedName>
    <definedName name="_xlchart.v1.94" hidden="1">'effectiveness IMG'!$R$5</definedName>
    <definedName name="_xlchart.v1.95" hidden="1">'effectiveness IMG'!$R$6:$R$50</definedName>
    <definedName name="_xlchart.v1.96" hidden="1">'effectiveness IMG'!$S$5</definedName>
    <definedName name="_xlchart.v1.97" hidden="1">'effectiveness IMG'!$S$6:$S$50</definedName>
    <definedName name="_xlchart.v1.98" hidden="1">'effectiveness IMG'!$T$5</definedName>
    <definedName name="_xlchart.v1.99" hidden="1">'effectiveness IMG'!$T$6:$T$50</definedName>
    <definedName name="OLE_LINK2" localSheetId="7">time!$A$3</definedName>
    <definedName name="OLE_LINK3" localSheetId="7">time!$A$13</definedName>
    <definedName name="OLE_LINK4" localSheetId="7">time!$A$23</definedName>
    <definedName name="OLE_LINK5" localSheetId="7">time!$A$37</definedName>
    <definedName name="OLE_LINK6" localSheetId="7">time!$A$39</definedName>
    <definedName name="OLE_LINK7" localSheetId="7">time!$A$41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1" l="1"/>
  <c r="D38" i="11"/>
  <c r="D37" i="11"/>
  <c r="D36" i="11"/>
  <c r="D35" i="11"/>
  <c r="D34" i="11"/>
  <c r="C35" i="11"/>
  <c r="C36" i="11"/>
  <c r="C37" i="11"/>
  <c r="C38" i="11"/>
  <c r="C39" i="11"/>
  <c r="C40" i="11"/>
  <c r="C34" i="11"/>
  <c r="B38" i="11"/>
  <c r="AW83" i="9"/>
  <c r="AX83" i="9"/>
  <c r="AV83" i="9"/>
  <c r="AR83" i="9"/>
  <c r="AS83" i="9"/>
  <c r="AQ83" i="9"/>
  <c r="AL83" i="9"/>
  <c r="AM83" i="9"/>
  <c r="AK83" i="9"/>
  <c r="AH83" i="9"/>
  <c r="AG83" i="9"/>
  <c r="AF83" i="9"/>
  <c r="AC83" i="9"/>
  <c r="AD83" i="9"/>
  <c r="AB83" i="9"/>
  <c r="X83" i="9"/>
  <c r="Y83" i="9"/>
  <c r="W83" i="9"/>
  <c r="S83" i="9"/>
  <c r="T83" i="9"/>
  <c r="R83" i="9"/>
  <c r="M83" i="9"/>
  <c r="N83" i="9"/>
  <c r="L83" i="9"/>
  <c r="I83" i="9"/>
  <c r="H83" i="9"/>
  <c r="G83" i="9"/>
  <c r="B83" i="9"/>
  <c r="C83" i="9"/>
  <c r="D83" i="9"/>
  <c r="D4" i="10"/>
  <c r="C26" i="11"/>
  <c r="C27" i="11"/>
  <c r="C28" i="11"/>
  <c r="C29" i="11"/>
  <c r="C30" i="11"/>
  <c r="C24" i="11"/>
  <c r="C7" i="11"/>
  <c r="C8" i="11"/>
  <c r="C9" i="11"/>
  <c r="C10" i="11"/>
  <c r="B5" i="11"/>
  <c r="AB4" i="10"/>
  <c r="Y4" i="10"/>
  <c r="V4" i="10"/>
  <c r="S4" i="10"/>
  <c r="L4" i="10"/>
  <c r="O4" i="10"/>
  <c r="B6" i="11"/>
  <c r="AU7" i="9"/>
  <c r="L29" i="10"/>
  <c r="B4" i="10"/>
  <c r="B46" i="10"/>
  <c r="D52" i="10"/>
  <c r="C52" i="10"/>
  <c r="B52" i="10"/>
  <c r="D51" i="10"/>
  <c r="C51" i="10"/>
  <c r="B51" i="10"/>
  <c r="D50" i="10"/>
  <c r="C50" i="10"/>
  <c r="B50" i="10"/>
  <c r="D49" i="10"/>
  <c r="C49" i="10"/>
  <c r="B49" i="10"/>
  <c r="D48" i="10"/>
  <c r="C48" i="10"/>
  <c r="B48" i="10"/>
  <c r="V7" i="10"/>
  <c r="AA7" i="9"/>
  <c r="D47" i="10"/>
  <c r="C47" i="10"/>
  <c r="B47" i="10"/>
  <c r="D46" i="10"/>
  <c r="C46" i="10"/>
  <c r="AS50" i="9"/>
  <c r="P108" i="6"/>
  <c r="Q108" i="6"/>
  <c r="P109" i="6"/>
  <c r="Q109" i="6"/>
  <c r="P110" i="6"/>
  <c r="Q110" i="6"/>
  <c r="P111" i="6"/>
  <c r="Q111" i="6"/>
  <c r="P112" i="6"/>
  <c r="Q112" i="6"/>
  <c r="P113" i="6"/>
  <c r="Q113" i="6"/>
  <c r="P114" i="6"/>
  <c r="Q114" i="6"/>
  <c r="P115" i="6"/>
  <c r="Q115" i="6"/>
  <c r="P116" i="6"/>
  <c r="Q116" i="6"/>
  <c r="P117" i="6"/>
  <c r="Q117" i="6"/>
  <c r="P118" i="6"/>
  <c r="Q118" i="6"/>
  <c r="P119" i="6"/>
  <c r="Q119" i="6"/>
  <c r="P120" i="6"/>
  <c r="Q120" i="6"/>
  <c r="P121" i="6"/>
  <c r="Q121" i="6"/>
  <c r="P122" i="6"/>
  <c r="Q122" i="6"/>
  <c r="P123" i="6"/>
  <c r="Q123" i="6"/>
  <c r="P124" i="6"/>
  <c r="Q124" i="6"/>
  <c r="P125" i="6"/>
  <c r="Q125" i="6"/>
  <c r="P126" i="6"/>
  <c r="Q126" i="6"/>
  <c r="P127" i="6"/>
  <c r="Q127" i="6"/>
  <c r="P128" i="6"/>
  <c r="Q128" i="6"/>
  <c r="P129" i="6"/>
  <c r="Q129" i="6"/>
  <c r="P130" i="6"/>
  <c r="Q130" i="6"/>
  <c r="P131" i="6"/>
  <c r="Q131" i="6"/>
  <c r="P132" i="6"/>
  <c r="Q132" i="6"/>
  <c r="P133" i="6"/>
  <c r="Q133" i="6"/>
  <c r="P134" i="6"/>
  <c r="Q134" i="6"/>
  <c r="P135" i="6"/>
  <c r="Q135" i="6"/>
  <c r="P136" i="6"/>
  <c r="Q136" i="6"/>
  <c r="P137" i="6"/>
  <c r="Q137" i="6"/>
  <c r="P138" i="6"/>
  <c r="Q138" i="6"/>
  <c r="P139" i="6"/>
  <c r="Q139" i="6"/>
  <c r="P140" i="6"/>
  <c r="Q140" i="6"/>
  <c r="P141" i="6"/>
  <c r="Q141" i="6"/>
  <c r="P142" i="6"/>
  <c r="Q142" i="6"/>
  <c r="P143" i="6"/>
  <c r="Q143" i="6"/>
  <c r="P144" i="6"/>
  <c r="Q144" i="6"/>
  <c r="P145" i="6"/>
  <c r="Q145" i="6"/>
  <c r="P146" i="6"/>
  <c r="Q146" i="6"/>
  <c r="P147" i="6"/>
  <c r="Q147" i="6"/>
  <c r="P148" i="6"/>
  <c r="Q148" i="6"/>
  <c r="P149" i="6"/>
  <c r="Q149" i="6"/>
  <c r="P150" i="6"/>
  <c r="Q150" i="6"/>
  <c r="Q107" i="6"/>
  <c r="P107" i="6"/>
  <c r="K108" i="6"/>
  <c r="L108" i="6"/>
  <c r="K109" i="6"/>
  <c r="L109" i="6"/>
  <c r="K110" i="6"/>
  <c r="L110" i="6"/>
  <c r="K111" i="6"/>
  <c r="L111" i="6"/>
  <c r="K112" i="6"/>
  <c r="L112" i="6"/>
  <c r="K113" i="6"/>
  <c r="L113" i="6"/>
  <c r="K114" i="6"/>
  <c r="L114" i="6"/>
  <c r="K115" i="6"/>
  <c r="L115" i="6"/>
  <c r="K116" i="6"/>
  <c r="L116" i="6"/>
  <c r="K117" i="6"/>
  <c r="L117" i="6"/>
  <c r="K118" i="6"/>
  <c r="L118" i="6"/>
  <c r="K119" i="6"/>
  <c r="L119" i="6"/>
  <c r="K120" i="6"/>
  <c r="L120" i="6"/>
  <c r="K121" i="6"/>
  <c r="L121" i="6"/>
  <c r="K122" i="6"/>
  <c r="L122" i="6"/>
  <c r="K123" i="6"/>
  <c r="L123" i="6"/>
  <c r="K124" i="6"/>
  <c r="L124" i="6"/>
  <c r="K125" i="6"/>
  <c r="L125" i="6"/>
  <c r="K126" i="6"/>
  <c r="L126" i="6"/>
  <c r="K127" i="6"/>
  <c r="L127" i="6"/>
  <c r="K128" i="6"/>
  <c r="L128" i="6"/>
  <c r="K129" i="6"/>
  <c r="L129" i="6"/>
  <c r="K130" i="6"/>
  <c r="L130" i="6"/>
  <c r="K131" i="6"/>
  <c r="L131" i="6"/>
  <c r="K132" i="6"/>
  <c r="L132" i="6"/>
  <c r="K133" i="6"/>
  <c r="L133" i="6"/>
  <c r="K134" i="6"/>
  <c r="L134" i="6"/>
  <c r="K135" i="6"/>
  <c r="L135" i="6"/>
  <c r="K136" i="6"/>
  <c r="L136" i="6"/>
  <c r="K137" i="6"/>
  <c r="L137" i="6"/>
  <c r="K138" i="6"/>
  <c r="L138" i="6"/>
  <c r="K139" i="6"/>
  <c r="L139" i="6"/>
  <c r="K140" i="6"/>
  <c r="L140" i="6"/>
  <c r="K141" i="6"/>
  <c r="L141" i="6"/>
  <c r="K142" i="6"/>
  <c r="L142" i="6"/>
  <c r="K143" i="6"/>
  <c r="L143" i="6"/>
  <c r="K144" i="6"/>
  <c r="L144" i="6"/>
  <c r="K145" i="6"/>
  <c r="L145" i="6"/>
  <c r="K146" i="6"/>
  <c r="L146" i="6"/>
  <c r="K147" i="6"/>
  <c r="L147" i="6"/>
  <c r="K148" i="6"/>
  <c r="L148" i="6"/>
  <c r="K149" i="6"/>
  <c r="L149" i="6"/>
  <c r="K150" i="6"/>
  <c r="L150" i="6"/>
  <c r="L107" i="6"/>
  <c r="K107" i="6"/>
  <c r="J122" i="6"/>
  <c r="E108" i="6"/>
  <c r="F108" i="6"/>
  <c r="E109" i="6"/>
  <c r="F109" i="6"/>
  <c r="E110" i="6"/>
  <c r="F110" i="6"/>
  <c r="E111" i="6"/>
  <c r="F111" i="6"/>
  <c r="E112" i="6"/>
  <c r="F112" i="6"/>
  <c r="E113" i="6"/>
  <c r="F113" i="6"/>
  <c r="E114" i="6"/>
  <c r="F114" i="6"/>
  <c r="E115" i="6"/>
  <c r="F115" i="6"/>
  <c r="E116" i="6"/>
  <c r="F116" i="6"/>
  <c r="E117" i="6"/>
  <c r="F117" i="6"/>
  <c r="E118" i="6"/>
  <c r="F118" i="6"/>
  <c r="E119" i="6"/>
  <c r="F119" i="6"/>
  <c r="E120" i="6"/>
  <c r="F120" i="6"/>
  <c r="E121" i="6"/>
  <c r="F121" i="6"/>
  <c r="E122" i="6"/>
  <c r="F122" i="6"/>
  <c r="E123" i="6"/>
  <c r="F123" i="6"/>
  <c r="E124" i="6"/>
  <c r="F124" i="6"/>
  <c r="E125" i="6"/>
  <c r="F125" i="6"/>
  <c r="E126" i="6"/>
  <c r="F126" i="6"/>
  <c r="E127" i="6"/>
  <c r="F127" i="6"/>
  <c r="E128" i="6"/>
  <c r="F128" i="6"/>
  <c r="E129" i="6"/>
  <c r="F129" i="6"/>
  <c r="E130" i="6"/>
  <c r="F130" i="6"/>
  <c r="E131" i="6"/>
  <c r="F131" i="6"/>
  <c r="E132" i="6"/>
  <c r="F132" i="6"/>
  <c r="E133" i="6"/>
  <c r="F133" i="6"/>
  <c r="E134" i="6"/>
  <c r="F134" i="6"/>
  <c r="E135" i="6"/>
  <c r="F135" i="6"/>
  <c r="E136" i="6"/>
  <c r="F136" i="6"/>
  <c r="E137" i="6"/>
  <c r="F137" i="6"/>
  <c r="E138" i="6"/>
  <c r="F138" i="6"/>
  <c r="E139" i="6"/>
  <c r="F139" i="6"/>
  <c r="E140" i="6"/>
  <c r="F140" i="6"/>
  <c r="E141" i="6"/>
  <c r="F141" i="6"/>
  <c r="E142" i="6"/>
  <c r="F142" i="6"/>
  <c r="E143" i="6"/>
  <c r="F143" i="6"/>
  <c r="E144" i="6"/>
  <c r="F144" i="6"/>
  <c r="E145" i="6"/>
  <c r="F145" i="6"/>
  <c r="E146" i="6"/>
  <c r="F146" i="6"/>
  <c r="E147" i="6"/>
  <c r="F147" i="6"/>
  <c r="E148" i="6"/>
  <c r="F148" i="6"/>
  <c r="E149" i="6"/>
  <c r="F149" i="6"/>
  <c r="E150" i="6"/>
  <c r="F150" i="6"/>
  <c r="F107" i="6"/>
  <c r="E107" i="6"/>
  <c r="AB137" i="3"/>
  <c r="AC137" i="3"/>
  <c r="AD137" i="3"/>
  <c r="AE137" i="3"/>
  <c r="AB138" i="3"/>
  <c r="AC138" i="3"/>
  <c r="AD138" i="3"/>
  <c r="AE138" i="3"/>
  <c r="AB139" i="3"/>
  <c r="AC139" i="3"/>
  <c r="AD139" i="3"/>
  <c r="AE139" i="3"/>
  <c r="AB140" i="3"/>
  <c r="AC140" i="3"/>
  <c r="AD140" i="3"/>
  <c r="AE140" i="3"/>
  <c r="AB141" i="3"/>
  <c r="AC141" i="3"/>
  <c r="AD141" i="3"/>
  <c r="AE141" i="3"/>
  <c r="AB142" i="3"/>
  <c r="AC142" i="3"/>
  <c r="AD142" i="3"/>
  <c r="AE142" i="3"/>
  <c r="AB143" i="3"/>
  <c r="AC143" i="3"/>
  <c r="AD143" i="3"/>
  <c r="AE143" i="3"/>
  <c r="AB144" i="3"/>
  <c r="AC144" i="3"/>
  <c r="AD144" i="3"/>
  <c r="AE144" i="3"/>
  <c r="AB145" i="3"/>
  <c r="AC145" i="3"/>
  <c r="AD145" i="3"/>
  <c r="AE145" i="3"/>
  <c r="AB146" i="3"/>
  <c r="AC146" i="3"/>
  <c r="AD146" i="3"/>
  <c r="AE146" i="3"/>
  <c r="AB147" i="3"/>
  <c r="AC147" i="3"/>
  <c r="AD147" i="3"/>
  <c r="AE147" i="3"/>
  <c r="AB148" i="3"/>
  <c r="AC148" i="3"/>
  <c r="AD148" i="3"/>
  <c r="AE148" i="3"/>
  <c r="AB149" i="3"/>
  <c r="AC149" i="3"/>
  <c r="AD149" i="3"/>
  <c r="AE149" i="3"/>
  <c r="AB150" i="3"/>
  <c r="AC150" i="3"/>
  <c r="AD150" i="3"/>
  <c r="AE150" i="3"/>
  <c r="AB151" i="3"/>
  <c r="AC151" i="3"/>
  <c r="AD151" i="3"/>
  <c r="AE151" i="3"/>
  <c r="AB152" i="3"/>
  <c r="AC152" i="3"/>
  <c r="AD152" i="3"/>
  <c r="AE152" i="3"/>
  <c r="AB153" i="3"/>
  <c r="AC153" i="3"/>
  <c r="AD153" i="3"/>
  <c r="AE153" i="3"/>
  <c r="AB154" i="3"/>
  <c r="AC154" i="3"/>
  <c r="AD154" i="3"/>
  <c r="AE154" i="3"/>
  <c r="AB155" i="3"/>
  <c r="AC155" i="3"/>
  <c r="AD155" i="3"/>
  <c r="AE155" i="3"/>
  <c r="AB156" i="3"/>
  <c r="AC156" i="3"/>
  <c r="AD156" i="3"/>
  <c r="AE156" i="3"/>
  <c r="AB157" i="3"/>
  <c r="AC157" i="3"/>
  <c r="AD157" i="3"/>
  <c r="AE157" i="3"/>
  <c r="AB158" i="3"/>
  <c r="AC158" i="3"/>
  <c r="AD158" i="3"/>
  <c r="AE158" i="3"/>
  <c r="AB159" i="3"/>
  <c r="AC159" i="3"/>
  <c r="AD159" i="3"/>
  <c r="AE159" i="3"/>
  <c r="AB160" i="3"/>
  <c r="AC160" i="3"/>
  <c r="AD160" i="3"/>
  <c r="AE160" i="3"/>
  <c r="AB161" i="3"/>
  <c r="AC161" i="3"/>
  <c r="AD161" i="3"/>
  <c r="AE161" i="3"/>
  <c r="AB162" i="3"/>
  <c r="AC162" i="3"/>
  <c r="AD162" i="3"/>
  <c r="AE162" i="3"/>
  <c r="AB163" i="3"/>
  <c r="AC163" i="3"/>
  <c r="AD163" i="3"/>
  <c r="AE163" i="3"/>
  <c r="AB164" i="3"/>
  <c r="AC164" i="3"/>
  <c r="AD164" i="3"/>
  <c r="AE164" i="3"/>
  <c r="AB165" i="3"/>
  <c r="AC165" i="3"/>
  <c r="AD165" i="3"/>
  <c r="AE165" i="3"/>
  <c r="AB166" i="3"/>
  <c r="AC166" i="3"/>
  <c r="AD166" i="3"/>
  <c r="AE166" i="3"/>
  <c r="AB167" i="3"/>
  <c r="AC167" i="3"/>
  <c r="AD167" i="3"/>
  <c r="AE167" i="3"/>
  <c r="AB168" i="3"/>
  <c r="AC168" i="3"/>
  <c r="AD168" i="3"/>
  <c r="AE168" i="3"/>
  <c r="AB169" i="3"/>
  <c r="AC169" i="3"/>
  <c r="AD169" i="3"/>
  <c r="AE169" i="3"/>
  <c r="AB170" i="3"/>
  <c r="AC170" i="3"/>
  <c r="AD170" i="3"/>
  <c r="AE170" i="3"/>
  <c r="AB171" i="3"/>
  <c r="AC171" i="3"/>
  <c r="AD171" i="3"/>
  <c r="AE171" i="3"/>
  <c r="AB172" i="3"/>
  <c r="AC172" i="3"/>
  <c r="AD172" i="3"/>
  <c r="AE172" i="3"/>
  <c r="AB173" i="3"/>
  <c r="AC173" i="3"/>
  <c r="AD173" i="3"/>
  <c r="AE173" i="3"/>
  <c r="AB174" i="3"/>
  <c r="AC174" i="3"/>
  <c r="AD174" i="3"/>
  <c r="AE174" i="3"/>
  <c r="AB175" i="3"/>
  <c r="AC175" i="3"/>
  <c r="AD175" i="3"/>
  <c r="AE175" i="3"/>
  <c r="AB176" i="3"/>
  <c r="AC176" i="3"/>
  <c r="AD176" i="3"/>
  <c r="AE176" i="3"/>
  <c r="AB177" i="3"/>
  <c r="AC177" i="3"/>
  <c r="AD177" i="3"/>
  <c r="AE177" i="3"/>
  <c r="AB178" i="3"/>
  <c r="AC178" i="3"/>
  <c r="AD178" i="3"/>
  <c r="AE178" i="3"/>
  <c r="AB179" i="3"/>
  <c r="AC179" i="3"/>
  <c r="AD179" i="3"/>
  <c r="AE179" i="3"/>
  <c r="AB180" i="3"/>
  <c r="AC180" i="3"/>
  <c r="AD180" i="3"/>
  <c r="AE180" i="3"/>
  <c r="AB181" i="3"/>
  <c r="AC181" i="3"/>
  <c r="AD181" i="3"/>
  <c r="AE181" i="3"/>
  <c r="AB182" i="3"/>
  <c r="AC182" i="3"/>
  <c r="AD182" i="3"/>
  <c r="AE182" i="3"/>
  <c r="AB183" i="3"/>
  <c r="AC183" i="3"/>
  <c r="AD183" i="3"/>
  <c r="AE183" i="3"/>
  <c r="AB184" i="3"/>
  <c r="AC184" i="3"/>
  <c r="AD184" i="3"/>
  <c r="AE184" i="3"/>
  <c r="AB185" i="3"/>
  <c r="AC185" i="3"/>
  <c r="AD185" i="3"/>
  <c r="AE185" i="3"/>
  <c r="AB186" i="3"/>
  <c r="AC186" i="3"/>
  <c r="AD186" i="3"/>
  <c r="AE186" i="3"/>
  <c r="AB187" i="3"/>
  <c r="AC187" i="3"/>
  <c r="AD187" i="3"/>
  <c r="AE187" i="3"/>
  <c r="AB188" i="3"/>
  <c r="AC188" i="3"/>
  <c r="AD188" i="3"/>
  <c r="AE188" i="3"/>
  <c r="AB189" i="3"/>
  <c r="AC189" i="3"/>
  <c r="AD189" i="3"/>
  <c r="AE189" i="3"/>
  <c r="AB190" i="3"/>
  <c r="AC190" i="3"/>
  <c r="AD190" i="3"/>
  <c r="AE190" i="3"/>
  <c r="AB191" i="3"/>
  <c r="AC191" i="3"/>
  <c r="AD191" i="3"/>
  <c r="AE191" i="3"/>
  <c r="AB192" i="3"/>
  <c r="AC192" i="3"/>
  <c r="AD192" i="3"/>
  <c r="AE192" i="3"/>
  <c r="AB193" i="3"/>
  <c r="AC193" i="3"/>
  <c r="AD193" i="3"/>
  <c r="AE193" i="3"/>
  <c r="AB194" i="3"/>
  <c r="AC194" i="3"/>
  <c r="AD194" i="3"/>
  <c r="AE194" i="3"/>
  <c r="AB195" i="3"/>
  <c r="AC195" i="3"/>
  <c r="AD195" i="3"/>
  <c r="AE195" i="3"/>
  <c r="AB196" i="3"/>
  <c r="AC196" i="3"/>
  <c r="AD196" i="3"/>
  <c r="AE196" i="3"/>
  <c r="AB197" i="3"/>
  <c r="AC197" i="3"/>
  <c r="AD197" i="3"/>
  <c r="AE197" i="3"/>
  <c r="AB198" i="3"/>
  <c r="AC198" i="3"/>
  <c r="AD198" i="3"/>
  <c r="AE198" i="3"/>
  <c r="AB199" i="3"/>
  <c r="AC199" i="3"/>
  <c r="AD199" i="3"/>
  <c r="AE199" i="3"/>
  <c r="AB200" i="3"/>
  <c r="AC200" i="3"/>
  <c r="AD200" i="3"/>
  <c r="AE200" i="3"/>
  <c r="AC136" i="3"/>
  <c r="AD136" i="3"/>
  <c r="AE136" i="3"/>
  <c r="AB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Q136" i="3"/>
  <c r="R136" i="3"/>
  <c r="S136" i="3"/>
  <c r="P136" i="3"/>
  <c r="AU50" i="5"/>
  <c r="AV50" i="5"/>
  <c r="E91" i="2"/>
  <c r="E90" i="2"/>
  <c r="E89" i="2"/>
  <c r="E88" i="2"/>
  <c r="E87" i="2"/>
  <c r="E86" i="2"/>
  <c r="E85" i="2"/>
  <c r="E84" i="2"/>
  <c r="E83" i="2"/>
  <c r="E82" i="2"/>
  <c r="E81" i="2"/>
  <c r="E80" i="2"/>
  <c r="E79" i="2"/>
  <c r="E78" i="2"/>
  <c r="E77" i="2"/>
  <c r="E76" i="2"/>
  <c r="E75" i="2"/>
  <c r="E74" i="2"/>
  <c r="E73" i="2"/>
  <c r="E72" i="2"/>
  <c r="E71" i="2"/>
  <c r="N50" i="5"/>
  <c r="O50" i="5"/>
  <c r="P50" i="5"/>
  <c r="Q50" i="5"/>
  <c r="R50" i="5"/>
  <c r="S50" i="5"/>
  <c r="T50" i="5"/>
  <c r="J47" i="1"/>
  <c r="BN47" i="1"/>
  <c r="BF47" i="1"/>
  <c r="AX47" i="1"/>
  <c r="AP47" i="1"/>
  <c r="AH47" i="1"/>
  <c r="R47" i="1"/>
  <c r="B47" i="1"/>
  <c r="AN50" i="5"/>
  <c r="AL50" i="5"/>
  <c r="AI50" i="5"/>
  <c r="AF50" i="5"/>
  <c r="AC50" i="5"/>
  <c r="Z50" i="5"/>
  <c r="W50" i="5"/>
  <c r="I50" i="5"/>
  <c r="D50" i="5"/>
  <c r="S89" i="3"/>
  <c r="P89" i="3"/>
  <c r="K89" i="3"/>
  <c r="AK93" i="3"/>
  <c r="AJ93" i="3"/>
  <c r="AK86" i="3"/>
  <c r="AJ86" i="3"/>
  <c r="I89" i="3"/>
  <c r="H89" i="3"/>
  <c r="L83" i="3"/>
  <c r="T83" i="3"/>
  <c r="AK94" i="3"/>
  <c r="AK87" i="3"/>
  <c r="AJ87" i="3"/>
  <c r="AJ94" i="3"/>
  <c r="Q89" i="3"/>
  <c r="O83" i="3"/>
  <c r="P83" i="3"/>
  <c r="Q83" i="3"/>
  <c r="R83" i="3"/>
  <c r="G83" i="3"/>
  <c r="H83" i="3"/>
  <c r="R89" i="3"/>
  <c r="J89" i="3"/>
  <c r="AJ92" i="3"/>
  <c r="AJ85" i="3"/>
  <c r="B83" i="3"/>
  <c r="C83" i="3"/>
  <c r="E83" i="3"/>
  <c r="D83" i="3"/>
  <c r="K83" i="3"/>
  <c r="S83" i="3"/>
  <c r="I3" i="3"/>
  <c r="D98" i="3" s="1"/>
  <c r="P29" i="6"/>
  <c r="Q29" i="6"/>
  <c r="R29" i="6"/>
  <c r="O29" i="6"/>
  <c r="H29" i="6"/>
  <c r="I29" i="6"/>
  <c r="J29" i="6"/>
  <c r="G29" i="6"/>
  <c r="C29" i="6"/>
  <c r="D29" i="6"/>
  <c r="E29" i="6"/>
  <c r="B29" i="6"/>
  <c r="S63" i="6"/>
  <c r="R63" i="6"/>
  <c r="S62" i="6"/>
  <c r="R62" i="6"/>
  <c r="Q64" i="6"/>
  <c r="P64" i="6"/>
  <c r="K63" i="6"/>
  <c r="J63" i="6"/>
  <c r="K62" i="6"/>
  <c r="J62" i="6"/>
  <c r="I64" i="6"/>
  <c r="H64" i="6"/>
  <c r="E63" i="6"/>
  <c r="E62" i="6"/>
  <c r="D62" i="6"/>
  <c r="D63" i="6"/>
  <c r="C64" i="6"/>
  <c r="B64" i="6"/>
  <c r="H60" i="6"/>
  <c r="I60" i="6"/>
  <c r="J60" i="6"/>
  <c r="G60" i="6"/>
  <c r="D3" i="6"/>
  <c r="D4" i="6"/>
  <c r="C5" i="6"/>
  <c r="C60" i="6"/>
  <c r="B71" i="6" s="1"/>
  <c r="D60" i="6"/>
  <c r="E60" i="6"/>
  <c r="B60" i="6"/>
  <c r="P60" i="6"/>
  <c r="Q60" i="6"/>
  <c r="R60" i="6"/>
  <c r="O60" i="6"/>
  <c r="B4" i="3"/>
  <c r="G3" i="3"/>
  <c r="E3" i="3"/>
  <c r="C3" i="3"/>
  <c r="E59" i="2"/>
  <c r="O50" i="2"/>
  <c r="O51" i="2"/>
  <c r="O52" i="2"/>
  <c r="O53" i="2"/>
  <c r="O54" i="2"/>
  <c r="O55" i="2"/>
  <c r="O56" i="2"/>
  <c r="O57" i="2"/>
  <c r="O58" i="2"/>
  <c r="O49" i="2"/>
  <c r="O59" i="2" s="1"/>
  <c r="J50" i="2"/>
  <c r="J51" i="2"/>
  <c r="J52" i="2"/>
  <c r="J53" i="2"/>
  <c r="J54" i="2"/>
  <c r="J55" i="2"/>
  <c r="J56" i="2"/>
  <c r="J57" i="2"/>
  <c r="J58" i="2"/>
  <c r="J49" i="2"/>
  <c r="J59" i="2" s="1"/>
  <c r="O36" i="2"/>
  <c r="O37" i="2"/>
  <c r="O38" i="2"/>
  <c r="O39" i="2"/>
  <c r="O40" i="2"/>
  <c r="O41" i="2"/>
  <c r="O42" i="2"/>
  <c r="O43" i="2"/>
  <c r="O44" i="2"/>
  <c r="O35" i="2"/>
  <c r="O45" i="2" s="1"/>
  <c r="E45" i="2"/>
  <c r="J36" i="2"/>
  <c r="J37" i="2"/>
  <c r="J38" i="2"/>
  <c r="J39" i="2"/>
  <c r="J40" i="2"/>
  <c r="J41" i="2"/>
  <c r="J42" i="2"/>
  <c r="J43" i="2"/>
  <c r="J44" i="2"/>
  <c r="J35" i="2"/>
  <c r="E36" i="2"/>
  <c r="E37" i="2"/>
  <c r="E38" i="2"/>
  <c r="E39" i="2"/>
  <c r="E40" i="2"/>
  <c r="E41" i="2"/>
  <c r="E42" i="2"/>
  <c r="E43" i="2"/>
  <c r="E44" i="2"/>
  <c r="E35" i="2"/>
  <c r="E50" i="2"/>
  <c r="E51" i="2"/>
  <c r="E52" i="2"/>
  <c r="E53" i="2"/>
  <c r="E54" i="2"/>
  <c r="E55" i="2"/>
  <c r="E56" i="2"/>
  <c r="E57" i="2"/>
  <c r="E58" i="2"/>
  <c r="E49" i="2"/>
  <c r="O15" i="2"/>
  <c r="O16" i="2"/>
  <c r="O17" i="2"/>
  <c r="O18" i="2"/>
  <c r="O19" i="2"/>
  <c r="O20" i="2"/>
  <c r="O21" i="2"/>
  <c r="O22" i="2"/>
  <c r="O23" i="2"/>
  <c r="O24" i="2"/>
  <c r="O25" i="2"/>
  <c r="O26" i="2"/>
  <c r="O27" i="2"/>
  <c r="O28" i="2"/>
  <c r="O29" i="2"/>
  <c r="O14" i="2"/>
  <c r="J15" i="2"/>
  <c r="J16" i="2"/>
  <c r="J17" i="2"/>
  <c r="J18" i="2"/>
  <c r="J19" i="2"/>
  <c r="J20" i="2"/>
  <c r="J21" i="2"/>
  <c r="J22" i="2"/>
  <c r="J23" i="2"/>
  <c r="J24" i="2"/>
  <c r="J25" i="2"/>
  <c r="J26" i="2"/>
  <c r="J27" i="2"/>
  <c r="J28" i="2"/>
  <c r="J29" i="2"/>
  <c r="J14" i="2"/>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O3" i="1"/>
  <c r="O4" i="1"/>
  <c r="O5" i="1"/>
  <c r="O6" i="1"/>
  <c r="O7" i="1"/>
  <c r="O8" i="1"/>
  <c r="O9" i="1"/>
  <c r="O10" i="1"/>
  <c r="O11" i="1"/>
  <c r="O12" i="1"/>
  <c r="O13" i="1"/>
  <c r="O14" i="1"/>
  <c r="O15" i="1"/>
  <c r="N3" i="1"/>
  <c r="N4" i="1"/>
  <c r="N5" i="1"/>
  <c r="N6" i="1"/>
  <c r="N7" i="1"/>
  <c r="N8" i="1"/>
  <c r="N9" i="1"/>
  <c r="N10" i="1"/>
  <c r="N11" i="1"/>
  <c r="N12" i="1"/>
  <c r="N13" i="1"/>
  <c r="N14" i="1"/>
  <c r="N15" i="1"/>
  <c r="M3" i="1"/>
  <c r="M4" i="1"/>
  <c r="M5" i="1"/>
  <c r="M6" i="1"/>
  <c r="M7" i="1"/>
  <c r="M8" i="1"/>
  <c r="M9" i="1"/>
  <c r="M10" i="1"/>
  <c r="M11" i="1"/>
  <c r="M12" i="1"/>
  <c r="M13" i="1"/>
  <c r="M14" i="1"/>
  <c r="M15" i="1"/>
  <c r="E15" i="2"/>
  <c r="E16" i="2"/>
  <c r="E17" i="2"/>
  <c r="E18" i="2"/>
  <c r="E19" i="2"/>
  <c r="E20" i="2"/>
  <c r="E21" i="2"/>
  <c r="E22" i="2"/>
  <c r="E23" i="2"/>
  <c r="E24" i="2"/>
  <c r="E25" i="2"/>
  <c r="E26" i="2"/>
  <c r="E27" i="2"/>
  <c r="E28" i="2"/>
  <c r="E29" i="2"/>
  <c r="E14" i="2"/>
  <c r="AI45" i="1"/>
  <c r="BS1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3" i="1"/>
  <c r="BS4" i="1"/>
  <c r="BS5" i="1"/>
  <c r="BS6" i="1"/>
  <c r="BS7" i="1"/>
  <c r="BS8" i="1"/>
  <c r="BS9" i="1"/>
  <c r="BS10" i="1"/>
  <c r="BS11" i="1"/>
  <c r="BS12" i="1"/>
  <c r="BS13" i="1"/>
  <c r="BS14" i="1"/>
  <c r="BS15" i="1"/>
  <c r="BS2" i="1"/>
  <c r="BQ3" i="1"/>
  <c r="BR3" i="1" s="1"/>
  <c r="BQ4" i="1"/>
  <c r="BR4" i="1" s="1"/>
  <c r="BQ5" i="1"/>
  <c r="BR5" i="1" s="1"/>
  <c r="BQ6" i="1"/>
  <c r="BR6" i="1" s="1"/>
  <c r="BQ7" i="1"/>
  <c r="BR7" i="1" s="1"/>
  <c r="BQ8" i="1"/>
  <c r="BR8" i="1" s="1"/>
  <c r="BQ9" i="1"/>
  <c r="BR9" i="1" s="1"/>
  <c r="BQ10" i="1"/>
  <c r="BR10" i="1" s="1"/>
  <c r="BQ11" i="1"/>
  <c r="BR11" i="1" s="1"/>
  <c r="BQ12" i="1"/>
  <c r="BR12" i="1" s="1"/>
  <c r="BQ13" i="1"/>
  <c r="BR13" i="1" s="1"/>
  <c r="BQ14" i="1"/>
  <c r="BR14" i="1" s="1"/>
  <c r="BQ15" i="1"/>
  <c r="BR15" i="1" s="1"/>
  <c r="BQ2" i="1"/>
  <c r="BP45" i="1"/>
  <c r="BS46" i="1" s="1"/>
  <c r="BO45" i="1"/>
  <c r="BN45" i="1"/>
  <c r="BQ46" i="1" s="1"/>
  <c r="J45" i="1"/>
  <c r="K45" i="1"/>
  <c r="L45" i="1"/>
  <c r="O46" i="1" s="1"/>
  <c r="B6" i="2"/>
  <c r="AR45" i="1"/>
  <c r="AU46" i="1" s="1"/>
  <c r="BF45" i="1"/>
  <c r="BI46" i="1" s="1"/>
  <c r="BG45" i="1"/>
  <c r="BH45" i="1"/>
  <c r="BK46" i="1" s="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3" i="1"/>
  <c r="BK4" i="1"/>
  <c r="BK5" i="1"/>
  <c r="BK6" i="1"/>
  <c r="BK7" i="1"/>
  <c r="BK8" i="1"/>
  <c r="BK9" i="1"/>
  <c r="BK10" i="1"/>
  <c r="BK11" i="1"/>
  <c r="BK12" i="1"/>
  <c r="BK13" i="1"/>
  <c r="BK14" i="1"/>
  <c r="BK15" i="1"/>
  <c r="BK2" i="1"/>
  <c r="BJ3" i="1"/>
  <c r="BJ4" i="1"/>
  <c r="BJ5" i="1"/>
  <c r="BJ6" i="1"/>
  <c r="BJ7" i="1"/>
  <c r="BJ8" i="1"/>
  <c r="BJ9" i="1"/>
  <c r="BJ10" i="1"/>
  <c r="BJ11" i="1"/>
  <c r="BJ12" i="1"/>
  <c r="BJ13" i="1"/>
  <c r="BJ14" i="1"/>
  <c r="BJ15" i="1"/>
  <c r="BJ2" i="1"/>
  <c r="BI3" i="1"/>
  <c r="BI4" i="1"/>
  <c r="BI5" i="1"/>
  <c r="BI6" i="1"/>
  <c r="BI7" i="1"/>
  <c r="BI8" i="1"/>
  <c r="BI9" i="1"/>
  <c r="BI10" i="1"/>
  <c r="BI11" i="1"/>
  <c r="BI12" i="1"/>
  <c r="BI13" i="1"/>
  <c r="BI14" i="1"/>
  <c r="BI15" i="1"/>
  <c r="BI2" i="1"/>
  <c r="E8" i="11" l="1"/>
  <c r="E9" i="11"/>
  <c r="E10" i="11"/>
  <c r="E7" i="11"/>
  <c r="D7" i="11"/>
  <c r="D26" i="11" s="1"/>
  <c r="D8" i="11"/>
  <c r="D27" i="11" s="1"/>
  <c r="D9" i="11"/>
  <c r="D28" i="11" s="1"/>
  <c r="D10" i="11"/>
  <c r="D29" i="11" s="1"/>
  <c r="C6" i="11"/>
  <c r="C5" i="11"/>
  <c r="C25" i="11"/>
  <c r="D63" i="10"/>
  <c r="D62" i="10"/>
  <c r="D61" i="10"/>
  <c r="D60" i="10"/>
  <c r="D59" i="10"/>
  <c r="D58" i="10"/>
  <c r="D57" i="10"/>
  <c r="C63" i="10"/>
  <c r="C62" i="10"/>
  <c r="C61" i="10"/>
  <c r="C60" i="10"/>
  <c r="C59" i="10"/>
  <c r="C58" i="10"/>
  <c r="C57" i="10"/>
  <c r="B63" i="10"/>
  <c r="B62" i="10"/>
  <c r="B61" i="10"/>
  <c r="B60" i="10"/>
  <c r="B59" i="10"/>
  <c r="B58" i="10"/>
  <c r="B57" i="10"/>
  <c r="AL87" i="3"/>
  <c r="AL86" i="3"/>
  <c r="AL94" i="3"/>
  <c r="AL93" i="3"/>
  <c r="R99" i="3"/>
  <c r="AM85" i="3"/>
  <c r="AL92" i="3"/>
  <c r="AL85" i="3"/>
  <c r="AH46" i="1"/>
  <c r="AL46" i="1"/>
  <c r="BR46" i="1"/>
  <c r="M46" i="1"/>
  <c r="N46" i="1"/>
  <c r="BJ46" i="1"/>
  <c r="Q99" i="3"/>
  <c r="P99" i="3"/>
  <c r="P98" i="3"/>
  <c r="Q98" i="3"/>
  <c r="I99" i="3"/>
  <c r="H99" i="3"/>
  <c r="C98" i="3"/>
  <c r="C99" i="3"/>
  <c r="B99" i="3"/>
  <c r="B98" i="3"/>
  <c r="E98" i="3"/>
  <c r="E88" i="3"/>
  <c r="AK92" i="3" s="1"/>
  <c r="K99" i="3"/>
  <c r="J99" i="3"/>
  <c r="S99" i="3"/>
  <c r="R98" i="3"/>
  <c r="S98" i="3"/>
  <c r="AH94" i="3"/>
  <c r="AH85" i="3"/>
  <c r="AH92" i="3"/>
  <c r="B97" i="3"/>
  <c r="D97" i="3"/>
  <c r="E97" i="3"/>
  <c r="I97" i="3"/>
  <c r="Q97" i="3"/>
  <c r="P97" i="3"/>
  <c r="J97" i="3"/>
  <c r="H97" i="3"/>
  <c r="C97" i="3"/>
  <c r="K97" i="3"/>
  <c r="R97" i="3"/>
  <c r="D99" i="3"/>
  <c r="E99" i="3"/>
  <c r="I98" i="3"/>
  <c r="H98" i="3"/>
  <c r="K98" i="3"/>
  <c r="J98" i="3"/>
  <c r="AK85" i="3"/>
  <c r="AM92" i="3"/>
  <c r="AH93" i="3"/>
  <c r="AI94" i="3"/>
  <c r="AI93" i="3"/>
  <c r="AI87" i="3"/>
  <c r="AH87" i="3"/>
  <c r="AI86" i="3"/>
  <c r="AH86" i="3"/>
  <c r="AI85" i="3"/>
  <c r="AI92" i="3"/>
  <c r="AM87" i="3"/>
  <c r="AM94" i="3"/>
  <c r="AM86" i="3"/>
  <c r="AM93" i="3"/>
  <c r="Q70" i="6"/>
  <c r="P70" i="6"/>
  <c r="H70" i="6"/>
  <c r="C70" i="6"/>
  <c r="I71" i="6"/>
  <c r="B70" i="6"/>
  <c r="D5" i="6"/>
  <c r="I70" i="6"/>
  <c r="Q96" i="3"/>
  <c r="S96" i="3"/>
  <c r="R96" i="3"/>
  <c r="P96" i="3"/>
  <c r="P95" i="3"/>
  <c r="Q95" i="3"/>
  <c r="H95" i="3"/>
  <c r="S95" i="3"/>
  <c r="R95" i="3"/>
  <c r="S94" i="3"/>
  <c r="Q94" i="3"/>
  <c r="P94" i="3"/>
  <c r="R94" i="3"/>
  <c r="H94" i="3"/>
  <c r="H71" i="6"/>
  <c r="Q71" i="6"/>
  <c r="P71" i="6"/>
  <c r="C72" i="6"/>
  <c r="C71" i="6"/>
  <c r="B72" i="6"/>
  <c r="S64" i="6"/>
  <c r="K64" i="6"/>
  <c r="E64" i="6"/>
  <c r="R64" i="6"/>
  <c r="J64" i="6"/>
  <c r="D64" i="6"/>
  <c r="J96" i="3"/>
  <c r="K96" i="3"/>
  <c r="D96" i="3"/>
  <c r="I96" i="3"/>
  <c r="H96" i="3"/>
  <c r="K95" i="3"/>
  <c r="I95" i="3"/>
  <c r="J95" i="3"/>
  <c r="D94" i="3"/>
  <c r="K94" i="3"/>
  <c r="J94" i="3"/>
  <c r="I94" i="3"/>
  <c r="B94" i="3"/>
  <c r="E94" i="3"/>
  <c r="C94" i="3"/>
  <c r="BR2" i="1"/>
  <c r="BR45" i="1" s="1"/>
  <c r="BQ45" i="1"/>
  <c r="O30" i="2"/>
  <c r="J45" i="2"/>
  <c r="B67" i="2"/>
  <c r="J30" i="2"/>
  <c r="E30" i="2"/>
  <c r="BI45" i="1"/>
  <c r="BJ45" i="1"/>
  <c r="AL3" i="1"/>
  <c r="AL4" i="1"/>
  <c r="AL5" i="1"/>
  <c r="AL6" i="1"/>
  <c r="AL7" i="1"/>
  <c r="AL8" i="1"/>
  <c r="AL9" i="1"/>
  <c r="AL10" i="1"/>
  <c r="AL11" i="1"/>
  <c r="AL12" i="1"/>
  <c r="AL13" i="1"/>
  <c r="AL14" i="1"/>
  <c r="AL15" i="1"/>
  <c r="AL2" i="1"/>
  <c r="AK3" i="1"/>
  <c r="AK4" i="1"/>
  <c r="AK5" i="1"/>
  <c r="AK6" i="1"/>
  <c r="AK7" i="1"/>
  <c r="AK8" i="1"/>
  <c r="AK9" i="1"/>
  <c r="AK10" i="1"/>
  <c r="AK11" i="1"/>
  <c r="AK12" i="1"/>
  <c r="AK13" i="1"/>
  <c r="AK14" i="1"/>
  <c r="AK15" i="1"/>
  <c r="AK2" i="1"/>
  <c r="AJ45" i="1"/>
  <c r="AM46" i="1" s="1"/>
  <c r="AH45" i="1"/>
  <c r="AK46" i="1" s="1"/>
  <c r="AK45" i="1"/>
  <c r="AM24" i="1"/>
  <c r="AM25" i="1"/>
  <c r="AM26" i="1"/>
  <c r="AM27" i="1"/>
  <c r="AM28" i="1"/>
  <c r="AM29" i="1"/>
  <c r="AM30" i="1"/>
  <c r="AM31" i="1"/>
  <c r="AM32" i="1"/>
  <c r="AM33" i="1"/>
  <c r="AM34" i="1"/>
  <c r="AM35" i="1"/>
  <c r="AM36" i="1"/>
  <c r="AM37" i="1"/>
  <c r="AM38" i="1"/>
  <c r="AM39" i="1"/>
  <c r="AM40" i="1"/>
  <c r="AM41" i="1"/>
  <c r="AM42" i="1"/>
  <c r="AM43" i="1"/>
  <c r="AM44" i="1"/>
  <c r="AM3" i="1"/>
  <c r="AM4" i="1"/>
  <c r="AM5" i="1"/>
  <c r="AM6" i="1"/>
  <c r="AM7" i="1"/>
  <c r="AM8" i="1"/>
  <c r="AM9" i="1"/>
  <c r="AM10" i="1"/>
  <c r="AM11" i="1"/>
  <c r="AM12" i="1"/>
  <c r="AM13" i="1"/>
  <c r="AM14" i="1"/>
  <c r="AM15" i="1"/>
  <c r="AM16" i="1"/>
  <c r="AM17" i="1"/>
  <c r="AM18" i="1"/>
  <c r="AM19" i="1"/>
  <c r="AM20" i="1"/>
  <c r="AM21" i="1"/>
  <c r="AM22" i="1"/>
  <c r="AM23" i="1"/>
  <c r="AM2" i="1"/>
  <c r="AS3" i="1"/>
  <c r="AS4" i="1"/>
  <c r="AS5" i="1"/>
  <c r="AS6" i="1"/>
  <c r="AS7" i="1"/>
  <c r="AS8" i="1"/>
  <c r="AS9" i="1"/>
  <c r="AS10" i="1"/>
  <c r="AS11" i="1"/>
  <c r="AS12" i="1"/>
  <c r="AS13" i="1"/>
  <c r="AS14" i="1"/>
  <c r="AS15" i="1"/>
  <c r="AS2" i="1"/>
  <c r="AT3" i="1"/>
  <c r="AT4" i="1"/>
  <c r="AT5" i="1"/>
  <c r="AT6" i="1"/>
  <c r="AT7" i="1"/>
  <c r="AT8" i="1"/>
  <c r="AT9" i="1"/>
  <c r="AT10" i="1"/>
  <c r="AT11" i="1"/>
  <c r="AT12" i="1"/>
  <c r="AT13" i="1"/>
  <c r="AT14" i="1"/>
  <c r="AT15" i="1"/>
  <c r="AT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2" i="1"/>
  <c r="AE44" i="1"/>
  <c r="BK45" i="1"/>
  <c r="AE43" i="1"/>
  <c r="AE32" i="1"/>
  <c r="AE31" i="1"/>
  <c r="AE20" i="1"/>
  <c r="AE19" i="1"/>
  <c r="AE18" i="1"/>
  <c r="AE17" i="1"/>
  <c r="T45" i="1"/>
  <c r="R45" i="1"/>
  <c r="U46" i="1" s="1"/>
  <c r="S45" i="1"/>
  <c r="W30" i="1"/>
  <c r="W31" i="1"/>
  <c r="W32" i="1"/>
  <c r="W33" i="1"/>
  <c r="W34" i="1"/>
  <c r="W35" i="1"/>
  <c r="W36" i="1"/>
  <c r="W37" i="1"/>
  <c r="W38" i="1"/>
  <c r="W39" i="1"/>
  <c r="W40" i="1"/>
  <c r="W41" i="1"/>
  <c r="W42" i="1"/>
  <c r="W43" i="1"/>
  <c r="W44" i="1"/>
  <c r="W3" i="1"/>
  <c r="W4" i="1"/>
  <c r="W5" i="1"/>
  <c r="W6" i="1"/>
  <c r="W7" i="1"/>
  <c r="W8" i="1"/>
  <c r="W9" i="1"/>
  <c r="W10" i="1"/>
  <c r="W11" i="1"/>
  <c r="W12" i="1"/>
  <c r="W13" i="1"/>
  <c r="W14" i="1"/>
  <c r="W15" i="1"/>
  <c r="W16" i="1"/>
  <c r="W17" i="1"/>
  <c r="W18" i="1"/>
  <c r="W19" i="1"/>
  <c r="W20" i="1"/>
  <c r="W21" i="1"/>
  <c r="W22" i="1"/>
  <c r="W23" i="1"/>
  <c r="W24" i="1"/>
  <c r="W25" i="1"/>
  <c r="W26" i="1"/>
  <c r="W27" i="1"/>
  <c r="W28" i="1"/>
  <c r="W29" i="1"/>
  <c r="AE16" i="1"/>
  <c r="BA3" i="1"/>
  <c r="BA4" i="1"/>
  <c r="BA5" i="1"/>
  <c r="BA6" i="1"/>
  <c r="BA7" i="1"/>
  <c r="BA8" i="1"/>
  <c r="BA9" i="1"/>
  <c r="BA10" i="1"/>
  <c r="BA11" i="1"/>
  <c r="BA12" i="1"/>
  <c r="BA13" i="1"/>
  <c r="BA14" i="1"/>
  <c r="BA15" i="1"/>
  <c r="BA2" i="1"/>
  <c r="BA45" i="1" s="1"/>
  <c r="BB3" i="1"/>
  <c r="BB4" i="1"/>
  <c r="BB5" i="1"/>
  <c r="BB6" i="1"/>
  <c r="BB7" i="1"/>
  <c r="BB8" i="1"/>
  <c r="BB9" i="1"/>
  <c r="BB10" i="1"/>
  <c r="BB11" i="1"/>
  <c r="BB12" i="1"/>
  <c r="BB13" i="1"/>
  <c r="BB14" i="1"/>
  <c r="BB15" i="1"/>
  <c r="BB2" i="1"/>
  <c r="BB45" i="1" s="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2" i="1"/>
  <c r="AZ45" i="1"/>
  <c r="BC46" i="1" s="1"/>
  <c r="B45" i="1"/>
  <c r="C45" i="1"/>
  <c r="F46" i="1" s="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D45" i="1"/>
  <c r="G46" i="1" s="1"/>
  <c r="AE30" i="1"/>
  <c r="AE29" i="1"/>
  <c r="AE28" i="1"/>
  <c r="AE27" i="1"/>
  <c r="AE26" i="1"/>
  <c r="AE25" i="1"/>
  <c r="AE24" i="1"/>
  <c r="AE23" i="1"/>
  <c r="AE22" i="1"/>
  <c r="AE21" i="1"/>
  <c r="AE42" i="1"/>
  <c r="AE41" i="1"/>
  <c r="AE40" i="1"/>
  <c r="AE39" i="1"/>
  <c r="AE38" i="1"/>
  <c r="AE37" i="1"/>
  <c r="AE36" i="1"/>
  <c r="AE35" i="1"/>
  <c r="AE34" i="1"/>
  <c r="AE33" i="1"/>
  <c r="U7" i="1"/>
  <c r="U8" i="1"/>
  <c r="U9" i="1"/>
  <c r="U10" i="1"/>
  <c r="U11" i="1"/>
  <c r="U12" i="1"/>
  <c r="U13" i="1"/>
  <c r="U14" i="1"/>
  <c r="U15" i="1"/>
  <c r="U6" i="1"/>
  <c r="BS45" i="1"/>
  <c r="AY45" i="1"/>
  <c r="AX45" i="1"/>
  <c r="BA46" i="1" s="1"/>
  <c r="AQ45" i="1"/>
  <c r="AP45" i="1"/>
  <c r="AS46" i="1" s="1"/>
  <c r="AB45" i="1"/>
  <c r="AA45" i="1"/>
  <c r="Z45" i="1"/>
  <c r="AE15" i="1"/>
  <c r="AD15" i="1"/>
  <c r="AC15" i="1"/>
  <c r="AE14" i="1"/>
  <c r="AD14" i="1"/>
  <c r="AC14" i="1"/>
  <c r="AE13" i="1"/>
  <c r="AD13" i="1"/>
  <c r="AC13" i="1"/>
  <c r="AE12" i="1"/>
  <c r="AD12" i="1"/>
  <c r="AC12" i="1"/>
  <c r="AE11" i="1"/>
  <c r="AD11" i="1"/>
  <c r="AC11" i="1"/>
  <c r="AE10" i="1"/>
  <c r="AD10" i="1"/>
  <c r="AC10" i="1"/>
  <c r="AE9" i="1"/>
  <c r="AD9" i="1"/>
  <c r="AC9" i="1"/>
  <c r="AE8" i="1"/>
  <c r="AD8" i="1"/>
  <c r="AC8" i="1"/>
  <c r="AE7" i="1"/>
  <c r="AD7" i="1"/>
  <c r="AC7" i="1"/>
  <c r="AE6" i="1"/>
  <c r="AD6" i="1"/>
  <c r="AC6" i="1"/>
  <c r="AE5" i="1"/>
  <c r="AD5" i="1"/>
  <c r="AC5" i="1"/>
  <c r="AE4" i="1"/>
  <c r="AD4" i="1"/>
  <c r="AC4" i="1"/>
  <c r="AE3" i="1"/>
  <c r="AD3" i="1"/>
  <c r="AC3" i="1"/>
  <c r="AE2" i="1"/>
  <c r="AD2" i="1"/>
  <c r="AD45" i="1" s="1"/>
  <c r="AC2" i="1"/>
  <c r="V3" i="1"/>
  <c r="V4" i="1"/>
  <c r="V5" i="1"/>
  <c r="V6" i="1"/>
  <c r="V7" i="1"/>
  <c r="V8" i="1"/>
  <c r="V9" i="1"/>
  <c r="V10" i="1"/>
  <c r="V11" i="1"/>
  <c r="V12" i="1"/>
  <c r="V13" i="1"/>
  <c r="V14" i="1"/>
  <c r="V15" i="1"/>
  <c r="U3" i="1"/>
  <c r="U4" i="1"/>
  <c r="U5" i="1"/>
  <c r="W2" i="1"/>
  <c r="V2" i="1"/>
  <c r="V45" i="1" s="1"/>
  <c r="U2" i="1"/>
  <c r="O2" i="1"/>
  <c r="O45" i="1" s="1"/>
  <c r="N2" i="1"/>
  <c r="N45" i="1" s="1"/>
  <c r="M2" i="1"/>
  <c r="M45" i="1" s="1"/>
  <c r="G14" i="1"/>
  <c r="G15" i="1"/>
  <c r="F14" i="1"/>
  <c r="F15" i="1"/>
  <c r="E14" i="1"/>
  <c r="E15" i="1"/>
  <c r="G13" i="1"/>
  <c r="F13" i="1"/>
  <c r="E13" i="1"/>
  <c r="G12" i="1"/>
  <c r="F12" i="1"/>
  <c r="E12" i="1"/>
  <c r="G11" i="1"/>
  <c r="F11" i="1"/>
  <c r="E11" i="1"/>
  <c r="G10" i="1"/>
  <c r="F10" i="1"/>
  <c r="E10" i="1"/>
  <c r="G9" i="1"/>
  <c r="F9" i="1"/>
  <c r="E9" i="1"/>
  <c r="G8" i="1"/>
  <c r="E8" i="1"/>
  <c r="F8" i="1"/>
  <c r="G3" i="1"/>
  <c r="G4" i="1"/>
  <c r="G5" i="1"/>
  <c r="G6" i="1"/>
  <c r="G7" i="1"/>
  <c r="F3" i="1"/>
  <c r="F4" i="1"/>
  <c r="F5" i="1"/>
  <c r="F6" i="1"/>
  <c r="F7" i="1"/>
  <c r="E3" i="1"/>
  <c r="E4" i="1"/>
  <c r="E5" i="1"/>
  <c r="E6" i="1"/>
  <c r="E7" i="1"/>
  <c r="G2" i="1"/>
  <c r="E2" i="1"/>
  <c r="E45" i="1" s="1"/>
  <c r="F2" i="1"/>
  <c r="D6" i="11" l="1"/>
  <c r="D25" i="11" s="1"/>
  <c r="E6" i="11"/>
  <c r="D5" i="11"/>
  <c r="D24" i="11" s="1"/>
  <c r="E5" i="11"/>
  <c r="R46" i="1"/>
  <c r="W46" i="1"/>
  <c r="BB46" i="1"/>
  <c r="AT46" i="1"/>
  <c r="I72" i="6"/>
  <c r="H72" i="6"/>
  <c r="P72" i="6"/>
  <c r="Q72" i="6"/>
  <c r="U45" i="1"/>
  <c r="B66" i="2"/>
  <c r="B65" i="2"/>
  <c r="B64" i="2"/>
  <c r="F45" i="1"/>
  <c r="AE45" i="1"/>
  <c r="AL45" i="1"/>
  <c r="AT45" i="1"/>
  <c r="AM45" i="1"/>
  <c r="AU45" i="1"/>
  <c r="W45" i="1"/>
  <c r="BC45" i="1"/>
  <c r="G45" i="1"/>
  <c r="AC45" i="1"/>
  <c r="AS45" i="1"/>
</calcChain>
</file>

<file path=xl/sharedStrings.xml><?xml version="1.0" encoding="utf-8"?>
<sst xmlns="http://schemas.openxmlformats.org/spreadsheetml/2006/main" count="850" uniqueCount="306">
  <si>
    <t>dev_nav</t>
  </si>
  <si>
    <t>dev_readi</t>
  </si>
  <si>
    <t>dev_assert</t>
  </si>
  <si>
    <t>X</t>
  </si>
  <si>
    <t>Deepseek R1 14B</t>
  </si>
  <si>
    <t>mistral nemo 12B</t>
  </si>
  <si>
    <t>mistral 7B</t>
  </si>
  <si>
    <t>difficulty to fill inputs</t>
  </si>
  <si>
    <t>difficulty to navigate</t>
  </si>
  <si>
    <t>impact on assertions ; need to rework evaluaiton with navigation checked on pages not only on observe</t>
  </si>
  <si>
    <t>difficulty to use a part of a page on one of the web site (site perso)</t>
  </si>
  <si>
    <t>impact on assertion</t>
  </si>
  <si>
    <t>impact on assertion (line 4)</t>
  </si>
  <si>
    <t>difficulty to fill textarea</t>
  </si>
  <si>
    <t>unable to interact with web site site perso</t>
  </si>
  <si>
    <t>devstral 24B</t>
  </si>
  <si>
    <t>specialised to agents</t>
  </si>
  <si>
    <t>error : No node with given id found</t>
  </si>
  <si>
    <t>may 2025</t>
  </si>
  <si>
    <t>qwen3:30B très long assertions</t>
  </si>
  <si>
    <t>qwen3:14B</t>
  </si>
  <si>
    <t>qwen3:8B NAV KO</t>
  </si>
  <si>
    <t>KO may be due to extraction from page</t>
  </si>
  <si>
    <t>pb avec assertions négatives, bon raisonnement mais retourne verdcit inverse</t>
  </si>
  <si>
    <t>assertions blue: sometimes forget objective ? Too much json data ?</t>
  </si>
  <si>
    <t>Display Security Projects</t>
  </si>
  <si>
    <t>publication11</t>
  </si>
  <si>
    <t>UCA32</t>
  </si>
  <si>
    <t>ARTEMIS PAPIER A</t>
  </si>
  <si>
    <t>Display PHP Courses</t>
  </si>
  <si>
    <t>Display Security Projects2</t>
  </si>
  <si>
    <t>Publications2</t>
  </si>
  <si>
    <t>Publications22</t>
  </si>
  <si>
    <t> UCA32</t>
  </si>
  <si>
    <t>Publications</t>
  </si>
  <si>
    <t>?</t>
  </si>
  <si>
    <t> Display PHP Courses</t>
  </si>
  <si>
    <t>Test Case: No Snippet After Sign Up</t>
  </si>
  <si>
    <t>KO</t>
  </si>
  <si>
    <t>gemma3n:e4b</t>
  </si>
  <si>
    <t>qwen3:4b</t>
  </si>
  <si>
    <t>ARTEMIS PAPIER A2</t>
  </si>
  <si>
    <t> Publications2</t>
  </si>
  <si>
    <t>opencart</t>
  </si>
  <si>
    <t>site</t>
  </si>
  <si>
    <t>LLM</t>
  </si>
  <si>
    <t>consistency</t>
  </si>
  <si>
    <t>testv2</t>
  </si>
  <si>
    <t>waterM</t>
  </si>
  <si>
    <t>20 runs</t>
  </si>
  <si>
    <t>qwen3 14B</t>
  </si>
  <si>
    <t>correctness</t>
  </si>
  <si>
    <t>real consis</t>
  </si>
  <si>
    <t>mistral:nemo</t>
  </si>
  <si>
    <t>crashes-&gt;</t>
  </si>
  <si>
    <t>a voir ca fonctionne ;;; ca ne fonctionne pas ;;;</t>
  </si>
  <si>
    <t>gros pb pour utiiser les inputs, retourne incon</t>
  </si>
  <si>
    <t xml:space="preserve">consistency understimated but llm often incorect ; </t>
  </si>
  <si>
    <t>consistency understimated</t>
  </si>
  <si>
    <t xml:space="preserve">inperfomant llm consistency ? </t>
  </si>
  <si>
    <t>performant LLM</t>
  </si>
  <si>
    <t>mixed performant llm often can but also cannot</t>
  </si>
  <si>
    <t>good alignment conssitency</t>
  </si>
  <si>
    <t>good consistency does not not mean that llm correct</t>
  </si>
  <si>
    <t>err relative moy</t>
  </si>
  <si>
    <t>test-waterM</t>
  </si>
  <si>
    <t>with using properties (no llm) real consistency &gt;&gt; estimation</t>
  </si>
  <si>
    <t>could be improved by refining per type of navigation action</t>
  </si>
  <si>
    <t>real consistency computed on 20 runs as amount of same verdcits happening most of the time / nb runs ; does not take into account the nulber of different verdcits observed or the nb of actions performed</t>
  </si>
  <si>
    <t>en résumé</t>
  </si>
  <si>
    <t>ecart calculé par err relative</t>
  </si>
  <si>
    <t xml:space="preserve">en tout </t>
  </si>
  <si>
    <t>llama3</t>
  </si>
  <si>
    <t>qwen3</t>
  </si>
  <si>
    <t>mistral</t>
  </si>
  <si>
    <t>err relative</t>
  </si>
  <si>
    <t>mistral nemo</t>
  </si>
  <si>
    <t>uca?</t>
  </si>
  <si>
    <t>Readiness</t>
  </si>
  <si>
    <t>Assertion</t>
  </si>
  <si>
    <t>Navigation</t>
  </si>
  <si>
    <t>Mistral Nemo 12B</t>
  </si>
  <si>
    <t>Qwen 3 14B</t>
  </si>
  <si>
    <t>Mistral Devstral 24B</t>
  </si>
  <si>
    <t>Mistral 7B</t>
  </si>
  <si>
    <t>/</t>
  </si>
  <si>
    <t>TestG</t>
  </si>
  <si>
    <t>Test-M</t>
  </si>
  <si>
    <t>Test-O</t>
  </si>
  <si>
    <t>MoyAcc</t>
  </si>
  <si>
    <t>soundness tc should not reject correct impl ? : compare verdicts with ALgo1 with simple execution batch 20 runs</t>
  </si>
  <si>
    <t>nb fail</t>
  </si>
  <si>
    <t>nb INC</t>
  </si>
  <si>
    <t>nb fail simple</t>
  </si>
  <si>
    <t>nb INC simple</t>
  </si>
  <si>
    <t>testW</t>
  </si>
  <si>
    <t>testG</t>
  </si>
  <si>
    <t>TestO</t>
  </si>
  <si>
    <t>gpt-oss 20</t>
  </si>
  <si>
    <t>nb fail appV2</t>
  </si>
  <si>
    <t>nb inc appV2</t>
  </si>
  <si>
    <t>TOTAL</t>
  </si>
  <si>
    <t>B45*(1-B45))</t>
  </si>
  <si>
    <t>test-Ambiguous</t>
  </si>
  <si>
    <t>Nb unsound</t>
  </si>
  <si>
    <t>TestW</t>
  </si>
  <si>
    <t>nb unsound (fail only)</t>
  </si>
  <si>
    <t>FER</t>
  </si>
  <si>
    <t>proportion of executions that result in a FAIL</t>
  </si>
  <si>
    <t>nb exec</t>
  </si>
  <si>
    <t>Test G</t>
  </si>
  <si>
    <t>Mean</t>
  </si>
  <si>
    <t>Total</t>
  </si>
  <si>
    <t>resutl</t>
  </si>
  <si>
    <t xml:space="preserve">36 test cases </t>
  </si>
  <si>
    <t>Now consider the graivity of unsooundness with FER</t>
  </si>
  <si>
    <t xml:space="preserve">conclusion: </t>
  </si>
  <si>
    <t>40 faux negatifs</t>
  </si>
  <si>
    <t>faux négatifs</t>
  </si>
  <si>
    <t>16+20+18</t>
  </si>
  <si>
    <t>nb pass simple</t>
  </si>
  <si>
    <t>nb pass</t>
  </si>
  <si>
    <t>testG-lax</t>
  </si>
  <si>
    <t>readiness detect issues sooner than simple</t>
  </si>
  <si>
    <t xml:space="preserve">simple : agent_nav hallucinate when (it has wrong interaction) interaction that cannot be performed on he page </t>
  </si>
  <si>
    <t xml:space="preserve"> agent_nav always returns success even when interaction cannot be performed</t>
  </si>
  <si>
    <t>mistral sometimes returns more false not because it detected a fault behaviour but because it reached wrong GUI by performing incorrect interactions</t>
  </si>
  <si>
    <t>its ineffectiveness -&gt; more fail verdcits than qwen</t>
  </si>
  <si>
    <t xml:space="preserve">positive but because mistral cannot perform action </t>
  </si>
  <si>
    <t>FER SimpleNLTestRunner (fail only)</t>
  </si>
  <si>
    <t>Nb unsound SimpleNLTestRunner</t>
  </si>
  <si>
    <t>nb unsound SimpleNLTestRunner (fail only)</t>
  </si>
  <si>
    <t>nb test cases</t>
  </si>
  <si>
    <t>interact randomly when ui not found whereas other llm often do nothing</t>
  </si>
  <si>
    <t>our algo ** always detects incorrect behaviours in navigation actions by means of readiness -&gt; no pass verdict</t>
  </si>
  <si>
    <t>disambiguable KO</t>
  </si>
  <si>
    <t>testA-lax</t>
  </si>
  <si>
    <t>inversion</t>
  </si>
  <si>
    <t>majuscule</t>
  </si>
  <si>
    <t>Nb lax simple</t>
  </si>
  <si>
    <t>Nb lax</t>
  </si>
  <si>
    <t>ratio simple</t>
  </si>
  <si>
    <t>ratio</t>
  </si>
  <si>
    <t xml:space="preserve">llama more creative : if button not found (submit) it tries to trigger a button on the page; if terms in assertion are inverted or some letters are replaced (maj) then accepted them </t>
  </si>
  <si>
    <t>V1</t>
  </si>
  <si>
    <t>V2</t>
  </si>
  <si>
    <t>assertions, lax on assertions including small changes (word inversion, maj instaed or min letter)</t>
  </si>
  <si>
    <t>test-A</t>
  </si>
  <si>
    <t>Total SimpleNLTestRunner</t>
  </si>
  <si>
    <t xml:space="preserve">PER SimpleNLTestRunner </t>
  </si>
  <si>
    <t>TestA</t>
  </si>
  <si>
    <t xml:space="preserve">SimpleNLTestRunner </t>
  </si>
  <si>
    <t xml:space="preserve">NLTestRunner </t>
  </si>
  <si>
    <t>TestG0</t>
  </si>
  <si>
    <t xml:space="preserve">FER (fail only) NLTestRunner </t>
  </si>
  <si>
    <t xml:space="preserve">FER (fail+inc) NLTestRunner </t>
  </si>
  <si>
    <t>FER (fail+inc) SimpleNLTestRunner</t>
  </si>
  <si>
    <t>FER (fail only) SimpleNLTestRunner</t>
  </si>
  <si>
    <t>FER  (fail+inc) SimpleNLTestRunner</t>
  </si>
  <si>
    <t>FER (fail+inc) NLTestRunner</t>
  </si>
  <si>
    <t xml:space="preserve">44 actions </t>
  </si>
  <si>
    <t>11 tests</t>
  </si>
  <si>
    <t>gpt-oss:20b-t0-128k</t>
  </si>
  <si>
    <t>clarity</t>
  </si>
  <si>
    <t>clarity issues</t>
  </si>
  <si>
    <t>(mistral nemo) does not respect symbols</t>
  </si>
  <si>
    <t> 0,9286</t>
  </si>
  <si>
    <t>Navigation IMG</t>
  </si>
  <si>
    <t>Assertion IMG</t>
  </si>
  <si>
    <t>Navigation OLD</t>
  </si>
  <si>
    <t>Assertion OLD</t>
  </si>
  <si>
    <t>llama3,1:70B</t>
  </si>
  <si>
    <t>qwen2,5 7B</t>
  </si>
  <si>
    <t>qwen2,5 32B</t>
  </si>
  <si>
    <t>oss 20b</t>
  </si>
  <si>
    <t>qwen2,5:3B</t>
  </si>
  <si>
    <t>version 0,3</t>
  </si>
  <si>
    <t>llama3,2:4b</t>
  </si>
  <si>
    <t>wait for 'account created,' with dot</t>
  </si>
  <si>
    <t>for each test case, measurement of accuracy of each category of steps (readiness, navigation, assertion), over a batch of 20 runs, Measuemernt of accuracy mean for each category, And computation of standard deviations for each category</t>
  </si>
  <si>
    <t>Readiness Standard dev,</t>
  </si>
  <si>
    <t>Navigation Standard dev,</t>
  </si>
  <si>
    <t>Assertion Standard dev,</t>
  </si>
  <si>
    <t>Qwen 2,5 3B</t>
  </si>
  <si>
    <t>Qwen 2,5 7B</t>
  </si>
  <si>
    <t>Meta Llama 3,1 70B</t>
  </si>
  <si>
    <t xml:space="preserve">bon alignement consistence estimée avec relle, bonne consistence d'exec des tests </t>
  </si>
  <si>
    <t>bon alignement consistence estimée avec relle, bonne consistence mais ne veut pas dire que le LLM fonctionne correctement ; il donne toujours les résultats attendus ou jamais car il n'est pas capable de faire ce qui est attendu (généralement navigation ou extraction de données)</t>
  </si>
  <si>
    <t>mauvais alignement; en gros, 1/3 fois estimated consistency underestimated when llm correct, 1/2 times, estimated consistency underestimated but llm incorrect</t>
  </si>
  <si>
    <t xml:space="preserve">Unsound test R, (fail+inc) SimpleNLTestRunner </t>
  </si>
  <si>
    <t xml:space="preserve">Unsound test R, (fail only) SimpleNLTestRunner </t>
  </si>
  <si>
    <t xml:space="preserve">Unsound test R, (fail+inc) NLTestRunner </t>
  </si>
  <si>
    <t xml:space="preserve">Unsound test R, (fail only) NLTestRunner </t>
  </si>
  <si>
    <t>Unsound test R, TestG</t>
  </si>
  <si>
    <t>Unsound test R, TestG (fail only)</t>
  </si>
  <si>
    <t>Unsound test R, TestA</t>
  </si>
  <si>
    <t>Unsound test R, TestA (fail only)</t>
  </si>
  <si>
    <t>Unsound test R,</t>
  </si>
  <si>
    <t>Unsound test R, (fail only)</t>
  </si>
  <si>
    <t>with performant LLM (llama 3,3) our tool, 5  unsound test case execution (fail+inconc) and 0, unsound test case exec (fail only), The difference comes from timeouts obtained when inferring  LLM provoking error and inclonclusive verdicts, The causes may be network issues, or the inference engine,</t>
  </si>
  <si>
    <t xml:space="preserve">with mixed performant llm, number of unsound test cases rises to  26 (fail + inc) and 6 (fail only), with low performant rises to  to  26 (fail + inc) and 6 (fail only), For these two llm, the number of unsound test case execution is not acceptable, </t>
  </si>
  <si>
    <t>When we compare our algoritm NLTestrunner with a naive solution SimpleNLTest, we  observe that it produces further unsound test cases, which is surprising, If we analyse the results, we observe that it returns less fail verdicts but more inconclusive verdcits, This is a consequence of taking into account timeouts, and the error returned by llm agents, SimpleNL test doesn't do this and continues</t>
  </si>
  <si>
    <t xml:space="preserve">with performant LLM (llama 3,3), the mean  FER is very low 1% (fail+inconc) 0,1% (fail), With SimpleNLTest, FER=0,56%, With a performant LLM, our tool is weakly unsound and rarely rejects conformant AUT slightly reject correct AUT (1 times / 720), It produces slightly more inconclusive verdcits than SimpleNLTester </t>
  </si>
  <si>
    <t xml:space="preserve">with mixed performant LLM (qwen3 14B), FER with NLTestRunner rises to 14,6% (fail+inconc), 2,5%(fail only), These results swo that the guardrails of our algorithms are effective in limiting the number of fail verdcits returned, This is confirmed by comparing the FER of NLTestRunner with SimpleNLTest, The FER (fail+inc) of SimpleNLtest is similar but the FER (fail) is much higher (11,3%), </t>
  </si>
  <si>
    <t>our algo With a performant or mixed LLM, execute NL test cases that rarely rejects conformant AUT, It produces slightly more inconclusive verdcits than SimpleNLTester, With mixed performant llm, the guardrails play their roles and lower the number of false positives (fail verdcits)</t>
  </si>
  <si>
    <t>Lax test R, SimpleNLTestRunner testG-lax</t>
  </si>
  <si>
    <t>Lax test R, SimpleNLTestRunner testA-lax</t>
  </si>
  <si>
    <t xml:space="preserve">si navigation KO-&gt; assertions avec IMG ? </t>
  </si>
  <si>
    <t>Total NLTestRunner</t>
  </si>
  <si>
    <t>Lax test R, NLTestRunner, testG-lax</t>
  </si>
  <si>
    <t>Lax test R, NLTestRunner, testA-lax</t>
  </si>
  <si>
    <t>PER NLTestRunner</t>
  </si>
  <si>
    <t>Test Suite</t>
  </si>
  <si>
    <t>TESTA-Lax</t>
  </si>
  <si>
    <t>TestO 53 steps</t>
  </si>
  <si>
    <t>TestW 85 steps</t>
  </si>
  <si>
    <t>Step TESTG 257</t>
  </si>
  <si>
    <t>TESTA 58 steps</t>
  </si>
  <si>
    <t>TestG0 119 steps</t>
  </si>
  <si>
    <t>"gemma4:e4b"</t>
  </si>
  <si>
    <t>17599,388585458 seconds</t>
  </si>
  <si>
    <t>16690,276326167 seconds</t>
  </si>
  <si>
    <t>qwen3,6:35b</t>
  </si>
  <si>
    <t>Figure \ref{fig:eval-llmcapabilities} presents box-plots of the distributions of FER across the NL test cases,</t>
  </si>
  <si>
    <t>Qwen 3 14B 2470,50791725 seconds</t>
  </si>
  <si>
    <t>Llama 3,3 70B 3657,467245875 seconds</t>
  </si>
  <si>
    <t>Mistral Nemmo 955,461176625 seconds</t>
  </si>
  <si>
    <t>Qwen 3 14B 817,597638458 seconds</t>
  </si>
  <si>
    <t>Llama 3,3 70B 1278,2475454579999 seconds</t>
  </si>
  <si>
    <t>Mistral Nemmo 402,537987417 seconds</t>
  </si>
  <si>
    <t>Qwen 3 14B 9172,414286584</t>
  </si>
  <si>
    <t>Llama 3,3 70B 1985,315043875 seconds</t>
  </si>
  <si>
    <t>Mistral Nemo 473,55503999999996</t>
  </si>
  <si>
    <t>Qwen 3 14B 1646,1668143749998</t>
  </si>
  <si>
    <t>Llama 3,3 70B 7954,8833887499995</t>
  </si>
  <si>
    <t>Mistral Nemo 430,29905725000003</t>
  </si>
  <si>
    <t>gemma4:31b</t>
  </si>
  <si>
    <t>llama3.3:70b</t>
  </si>
  <si>
    <t>llama3,3:70b</t>
  </si>
  <si>
    <t>pass</t>
  </si>
  <si>
    <t>pass@1</t>
  </si>
  <si>
    <t>with gemma4:31b</t>
  </si>
  <si>
    <t>with llama70B</t>
  </si>
  <si>
    <t>TESTG</t>
  </si>
  <si>
    <t>testO</t>
  </si>
  <si>
    <t>add additional steps with brand for opencart</t>
  </si>
  <si>
    <t>or    await page.waitForLoadState('networkidle');</t>
  </si>
  <si>
    <t>final results</t>
  </si>
  <si>
    <t>model</t>
  </si>
  <si>
    <t>fail</t>
  </si>
  <si>
    <t>pass@*</t>
  </si>
  <si>
    <t>TESTO</t>
  </si>
  <si>
    <t>TESTW</t>
  </si>
  <si>
    <t>qwen3-coder-next:80B</t>
  </si>
  <si>
    <t>gemma4:e4b</t>
  </si>
  <si>
    <t>devstral:24B</t>
  </si>
  <si>
    <t>qwen3.6:35b</t>
  </si>
  <si>
    <t>gpt-oss:20b</t>
  </si>
  <si>
    <t>capability of our system to generate sound test scripts , i.e. test scripts that pass on a correct implementation</t>
  </si>
  <si>
    <t>we consider three NL test suits TestG TestO and TestW (30 NL test cases) and 5 web applications that are supposed correct.</t>
  </si>
  <si>
    <t xml:space="preserve">test generation followed by repair limited to 5 times if test script fails on implementation </t>
  </si>
  <si>
    <t>collect three measures : ration of pass test scripts generated by one model call denoted pass@1 ;  ration of pass test scripts generated after multi attepts repairs of the test scripts denoted pass@5 ; ratio of fail test script</t>
  </si>
  <si>
    <t xml:space="preserve">results : </t>
  </si>
  <si>
    <t xml:space="preserve">tesst script generation with different models that can be deployed locally. models from differents companies, Models of range  4B to 80B models, two  models  specialised in coding </t>
  </si>
  <si>
    <t>models specialised to coding do not provides best ratio pass@1 pass@*</t>
  </si>
  <si>
    <t>llama3.3:70b, which is the best model to execute NL test cases, is not effective at generating test scripts. It often adds wrong steps (e.g. check of a brand that does not exists)</t>
  </si>
  <si>
    <t xml:space="preserve">conclu: recent models tend to be effective at generating test scripts. Moderate sized models like gemma4:31b is suffiscient in our experiements to generate sound test scripts </t>
  </si>
  <si>
    <t xml:space="preserve">models specialised to coding and biggest models not not provide better results in our experiments </t>
  </si>
  <si>
    <t>with the results observed with gemma4:e4b, we can think that smaller models will have the capabilies to generate sound test scripts soon.</t>
  </si>
  <si>
    <t xml:space="preserve">best model gemma4:31b with a ratio pass@* of 97% of sound test scripts </t>
  </si>
  <si>
    <t>smallest model gemma4:e4b more effective than big models llama3.3 70B and devstral 24B</t>
  </si>
  <si>
    <t xml:space="preserve">Three more recent models gemma4:31b, qwen3.6:35b, gpt-oss:20b are the most effective (pass@* 97%, 73% 67%) </t>
  </si>
  <si>
    <t>NL test case execution</t>
  </si>
  <si>
    <t xml:space="preserve">Test script generation </t>
  </si>
  <si>
    <t>Models</t>
  </si>
  <si>
    <t>Execution time</t>
  </si>
  <si>
    <t>Average execution time per test case</t>
  </si>
  <si>
    <t>Average execution time per step</t>
  </si>
  <si>
    <t xml:space="preserve">TESTG </t>
  </si>
  <si>
    <t>Gemma4:e4b</t>
  </si>
  <si>
    <t>Gemma4:31b</t>
  </si>
  <si>
    <t>Llama3.3:70b</t>
  </si>
  <si>
    <t>Devstral :24B</t>
  </si>
  <si>
    <t>Qwen3.6:35b</t>
  </si>
  <si>
    <t>Gpt-oss:20B</t>
  </si>
  <si>
    <t>NL test execution</t>
  </si>
  <si>
    <t>Execution time 20 times</t>
  </si>
  <si>
    <t>Average execution time (code gen only)</t>
  </si>
  <si>
    <t>Average Execution time</t>
  </si>
  <si>
    <t>MOY</t>
  </si>
  <si>
    <t>3 groups ?</t>
  </si>
  <si>
    <t>Mean accuracies $&gt;93.32$</t>
  </si>
  <si>
    <t>Mean accuracies $\geq 80$\%</t>
  </si>
  <si>
    <t>Mean accuracies $\leq 80$\%</t>
  </si>
  <si>
    <t xml:space="preserve">3 test suites </t>
  </si>
  <si>
    <t>TestG only (10 tests)</t>
  </si>
  <si>
    <t>Gemma4 31b</t>
  </si>
  <si>
    <t>Qwen3.6 35b</t>
  </si>
  <si>
    <t>GPT-OSS 20b</t>
  </si>
  <si>
    <t>Qwen3-coder-next 80B</t>
  </si>
  <si>
    <t>Gemma4 E4B</t>
  </si>
  <si>
    <t>Llama3.3 70B</t>
  </si>
  <si>
    <t>Devstral 24B</t>
  </si>
  <si>
    <t>Agent assert</t>
  </si>
  <si>
    <t>Agent nav</t>
  </si>
  <si>
    <t>Agent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</si>
</sst>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_ ;_ * \(#,##0.00\)_ ;_ * &quot;-&quot;??_)_ ;_ @_ "/>
  </numFmts>
  <fonts count="14" x14ac:knownFonts="1">
    <font>
      <sz val="12"/>
      <color theme="1"/>
      <name val="Aptos Narrow"/>
      <family val="2"/>
      <scheme val="minor"/>
    </font>
    <font>
      <sz val="12"/>
      <color rgb="FFFF0000"/>
      <name val="Aptos Narrow"/>
      <family val="2"/>
      <scheme val="minor"/>
    </font>
    <font>
      <sz val="8"/>
      <name val="Aptos Narrow"/>
      <family val="2"/>
      <scheme val="minor"/>
    </font>
    <font>
      <sz val="12"/>
      <color rgb="FF000000"/>
      <name val="Aptos Narrow"/>
      <family val="2"/>
      <scheme val="minor"/>
    </font>
    <font>
      <sz val="11"/>
      <color rgb="FF000000"/>
      <name val="Menlo"/>
      <family val="2"/>
    </font>
    <font>
      <sz val="12"/>
      <color theme="4" tint="0.39997558519241921"/>
      <name val="Aptos Narrow"/>
      <family val="2"/>
      <scheme val="minor"/>
    </font>
    <font>
      <sz val="12"/>
      <color theme="1"/>
      <name val="Aptos Narrow"/>
      <family val="2"/>
      <scheme val="minor"/>
    </font>
    <font>
      <sz val="11"/>
      <color rgb="FFFF0000"/>
      <name val="Menlo"/>
      <family val="2"/>
    </font>
    <font>
      <sz val="12"/>
      <name val="Aptos Narrow"/>
      <family val="2"/>
      <scheme val="minor"/>
    </font>
    <font>
      <sz val="11"/>
      <color theme="1"/>
      <name val="Calibri"/>
      <family val="2"/>
    </font>
    <font>
      <sz val="12"/>
      <color theme="1"/>
      <name val="Times New Roman"/>
      <family val="1"/>
    </font>
    <font>
      <sz val="11"/>
      <color rgb="FFFF0000"/>
      <name val="Calibri"/>
      <family val="2"/>
    </font>
    <font>
      <sz val="11"/>
      <color rgb="FFA31515"/>
      <name val="Menlo"/>
      <family val="2"/>
    </font>
    <font>
      <u/>
      <sz val="12"/>
      <color theme="10"/>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FFFF00"/>
        <bgColor rgb="FF000000"/>
      </patternFill>
    </fill>
    <fill>
      <patternFill patternType="solid">
        <fgColor rgb="FFFFC000"/>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0000"/>
        <bgColor indexed="64"/>
      </patternFill>
    </fill>
  </fills>
  <borders count="1">
    <border>
      <left/>
      <right/>
      <top/>
      <bottom/>
      <diagonal/>
    </border>
  </borders>
  <cellStyleXfs count="4">
    <xf numFmtId="0" fontId="0" fillId="0" borderId="0"/>
    <xf numFmtId="43" fontId="6" fillId="0" borderId="0" applyFont="0" applyFill="0" applyBorder="0" applyAlignment="0" applyProtection="0"/>
    <xf numFmtId="9" fontId="6" fillId="0" borderId="0" applyFont="0" applyFill="0" applyBorder="0" applyAlignment="0" applyProtection="0"/>
    <xf numFmtId="0" fontId="13" fillId="0" borderId="0" applyNumberFormat="0" applyFill="0" applyBorder="0" applyAlignment="0" applyProtection="0"/>
  </cellStyleXfs>
  <cellXfs count="51">
    <xf numFmtId="0" fontId="0" fillId="0" borderId="0" xfId="0"/>
    <xf numFmtId="0" fontId="3" fillId="0" borderId="0" xfId="0" applyFont="1"/>
    <xf numFmtId="0" fontId="0" fillId="2" borderId="0" xfId="0" applyFill="1"/>
    <xf numFmtId="0" fontId="1" fillId="0" borderId="0" xfId="0" applyFont="1"/>
    <xf numFmtId="17" fontId="0" fillId="0" borderId="0" xfId="0" applyNumberFormat="1"/>
    <xf numFmtId="0" fontId="4" fillId="0" borderId="0" xfId="0" applyFont="1"/>
    <xf numFmtId="0" fontId="5" fillId="0" borderId="0" xfId="0" applyFont="1"/>
    <xf numFmtId="0" fontId="0" fillId="3" borderId="0" xfId="0" applyFill="1"/>
    <xf numFmtId="0" fontId="4" fillId="3" borderId="0" xfId="0" applyFont="1" applyFill="1"/>
    <xf numFmtId="0" fontId="0" fillId="4" borderId="0" xfId="0" applyFill="1"/>
    <xf numFmtId="0" fontId="4" fillId="4" borderId="0" xfId="0" applyFont="1" applyFill="1"/>
    <xf numFmtId="0" fontId="4" fillId="0" borderId="0" xfId="1" applyNumberFormat="1" applyFont="1"/>
    <xf numFmtId="2" fontId="7" fillId="0" borderId="0" xfId="1" applyNumberFormat="1" applyFont="1"/>
    <xf numFmtId="9" fontId="0" fillId="0" borderId="0" xfId="2" applyFont="1"/>
    <xf numFmtId="0" fontId="3" fillId="5" borderId="0" xfId="0" applyFont="1" applyFill="1"/>
    <xf numFmtId="2" fontId="0" fillId="2" borderId="0" xfId="0" applyNumberFormat="1" applyFill="1"/>
    <xf numFmtId="2" fontId="0" fillId="0" borderId="0" xfId="0" applyNumberFormat="1"/>
    <xf numFmtId="0" fontId="8" fillId="0" borderId="0" xfId="0" applyFont="1"/>
    <xf numFmtId="0" fontId="0" fillId="6" borderId="0" xfId="0" applyFill="1"/>
    <xf numFmtId="10" fontId="0" fillId="0" borderId="0" xfId="0" applyNumberFormat="1"/>
    <xf numFmtId="0" fontId="8" fillId="6" borderId="0" xfId="0" applyFont="1" applyFill="1"/>
    <xf numFmtId="0" fontId="8" fillId="2" borderId="0" xfId="0" applyFont="1" applyFill="1"/>
    <xf numFmtId="10" fontId="8" fillId="0" borderId="0" xfId="0" applyNumberFormat="1" applyFont="1"/>
    <xf numFmtId="10" fontId="3" fillId="0" borderId="0" xfId="0" applyNumberFormat="1" applyFont="1"/>
    <xf numFmtId="0" fontId="4" fillId="2" borderId="0" xfId="0" applyFont="1" applyFill="1"/>
    <xf numFmtId="0" fontId="0" fillId="7" borderId="0" xfId="0" applyFill="1"/>
    <xf numFmtId="0" fontId="9" fillId="0" borderId="0" xfId="0" applyFont="1"/>
    <xf numFmtId="0" fontId="0" fillId="8" borderId="0" xfId="0" applyFill="1"/>
    <xf numFmtId="0" fontId="0" fillId="9" borderId="0" xfId="0" applyFill="1"/>
    <xf numFmtId="0" fontId="9" fillId="6" borderId="0" xfId="0" applyFont="1" applyFill="1"/>
    <xf numFmtId="0" fontId="0" fillId="10" borderId="0" xfId="0" applyFill="1"/>
    <xf numFmtId="0" fontId="1" fillId="10" borderId="0" xfId="0" applyFont="1" applyFill="1"/>
    <xf numFmtId="10" fontId="1" fillId="0" borderId="0" xfId="0" applyNumberFormat="1" applyFont="1"/>
    <xf numFmtId="2" fontId="1" fillId="0" borderId="0" xfId="0" applyNumberFormat="1" applyFont="1"/>
    <xf numFmtId="2" fontId="8" fillId="0" borderId="0" xfId="0" applyNumberFormat="1" applyFont="1"/>
    <xf numFmtId="2" fontId="5" fillId="0" borderId="0" xfId="0" applyNumberFormat="1" applyFont="1"/>
    <xf numFmtId="10" fontId="5" fillId="0" borderId="0" xfId="0" applyNumberFormat="1" applyFont="1"/>
    <xf numFmtId="0" fontId="10" fillId="0" borderId="0" xfId="0" applyFont="1" applyAlignment="1">
      <alignment vertical="center"/>
    </xf>
    <xf numFmtId="0" fontId="4" fillId="0" borderId="0" xfId="0" applyFont="1" applyAlignment="1">
      <alignment vertical="center"/>
    </xf>
    <xf numFmtId="0" fontId="11" fillId="0" borderId="0" xfId="0" applyFont="1"/>
    <xf numFmtId="0" fontId="12" fillId="0" borderId="0" xfId="0" applyFont="1"/>
    <xf numFmtId="0" fontId="13" fillId="0" borderId="0" xfId="3"/>
    <xf numFmtId="0" fontId="7" fillId="0" borderId="0" xfId="0" applyFont="1"/>
    <xf numFmtId="9" fontId="13" fillId="0" borderId="0" xfId="2" applyFont="1"/>
    <xf numFmtId="0" fontId="0" fillId="0" borderId="0" xfId="0" applyFill="1"/>
    <xf numFmtId="0" fontId="7" fillId="0" borderId="0" xfId="0" applyFont="1" applyFill="1"/>
    <xf numFmtId="0" fontId="1" fillId="0" borderId="0" xfId="0" applyFont="1" applyFill="1"/>
    <xf numFmtId="0" fontId="12" fillId="0" borderId="0" xfId="0" applyFont="1" applyFill="1"/>
    <xf numFmtId="0" fontId="4" fillId="0" borderId="0" xfId="0" applyFont="1" applyFill="1"/>
    <xf numFmtId="0" fontId="0" fillId="11" borderId="0" xfId="0" applyFill="1"/>
    <xf numFmtId="0" fontId="3" fillId="5" borderId="0" xfId="0" quotePrefix="1" applyFont="1" applyFill="1"/>
  </cellXfs>
  <cellStyles count="4">
    <cellStyle name="Lien hypertexte" xfId="3" builtinId="8"/>
    <cellStyle name="Milliers" xfId="1" builtinId="3"/>
    <cellStyle name="Normal" xfId="0" builtinId="0"/>
    <cellStyle name="Pourcentage" xfId="2" builtinId="5"/>
  </cellStyles>
  <dxfs count="4">
    <dxf>
      <numFmt numFmtId="2" formatCode="0.00"/>
    </dxf>
    <dxf>
      <numFmt numFmtId="2" formatCode="0.00"/>
    </dxf>
    <dxf>
      <numFmt numFmtId="2" formatCode="0.00"/>
    </dxf>
    <dxf>
      <font>
        <b val="0"/>
        <i val="0"/>
        <strike val="0"/>
        <condense val="0"/>
        <extend val="0"/>
        <outline val="0"/>
        <shadow val="0"/>
        <u val="none"/>
        <vertAlign val="baseline"/>
        <sz val="12"/>
        <color rgb="FF000000"/>
        <name val="Aptos Narrow"/>
        <family val="2"/>
        <scheme val="minor"/>
      </font>
      <fill>
        <patternFill patternType="solid">
          <fgColor rgb="FF0000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8.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1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1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1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2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2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3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3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Ex3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Ex3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'code gen'!$B$56</c:f>
              <c:strCache>
                <c:ptCount val="1"/>
                <c:pt idx="0">
                  <c:v>pass@1</c:v>
                </c:pt>
              </c:strCache>
            </c:strRef>
          </c:tx>
          <c:spPr>
            <a:solidFill>
              <a:schemeClr val="accent6"/>
            </a:solidFill>
            <a:ln>
              <a:noFill/>
            </a:ln>
            <a:effectLst/>
          </c:spPr>
          <c:invertIfNegative val="0"/>
          <c:cat>
            <c:strRef>
              <c:f>'code gen'!$A$57:$A$63</c:f>
              <c:strCache>
                <c:ptCount val="7"/>
                <c:pt idx="0">
                  <c:v>llama3.3:70b</c:v>
                </c:pt>
                <c:pt idx="1">
                  <c:v>gemma4:31b</c:v>
                </c:pt>
                <c:pt idx="2">
                  <c:v>gemma4:e4b</c:v>
                </c:pt>
                <c:pt idx="3">
                  <c:v>devstral:24B</c:v>
                </c:pt>
                <c:pt idx="4">
                  <c:v>qwen3.6:35b</c:v>
                </c:pt>
                <c:pt idx="5">
                  <c:v>gpt-oss:20b</c:v>
                </c:pt>
                <c:pt idx="6">
                  <c:v>qwen3-coder-next:80B</c:v>
                </c:pt>
              </c:strCache>
            </c:strRef>
          </c:cat>
          <c:val>
            <c:numRef>
              <c:f>'code gen'!$B$57:$B$63</c:f>
              <c:numCache>
                <c:formatCode>0%</c:formatCode>
                <c:ptCount val="7"/>
                <c:pt idx="0">
                  <c:v>0.1</c:v>
                </c:pt>
                <c:pt idx="1">
                  <c:v>0.6</c:v>
                </c:pt>
                <c:pt idx="2">
                  <c:v>6.6666666666666666E-2</c:v>
                </c:pt>
                <c:pt idx="3">
                  <c:v>0.1</c:v>
                </c:pt>
                <c:pt idx="4">
                  <c:v>0.4</c:v>
                </c:pt>
                <c:pt idx="5">
                  <c:v>0.2</c:v>
                </c:pt>
                <c:pt idx="6">
                  <c:v>0.23333333333333334</c:v>
                </c:pt>
              </c:numCache>
            </c:numRef>
          </c:val>
          <c:extLst>
            <c:ext xmlns:c16="http://schemas.microsoft.com/office/drawing/2014/chart" uri="{C3380CC4-5D6E-409C-BE32-E72D297353CC}">
              <c16:uniqueId val="{00000000-88A2-FC46-B421-B04FB456314B}"/>
            </c:ext>
          </c:extLst>
        </c:ser>
        <c:ser>
          <c:idx val="1"/>
          <c:order val="1"/>
          <c:tx>
            <c:strRef>
              <c:f>'code gen'!$C$56</c:f>
              <c:strCache>
                <c:ptCount val="1"/>
                <c:pt idx="0">
                  <c:v>pass@*</c:v>
                </c:pt>
              </c:strCache>
            </c:strRef>
          </c:tx>
          <c:spPr>
            <a:solidFill>
              <a:srgbClr val="00B0F0"/>
            </a:solidFill>
            <a:ln>
              <a:noFill/>
            </a:ln>
            <a:effectLst/>
          </c:spPr>
          <c:invertIfNegative val="0"/>
          <c:cat>
            <c:strRef>
              <c:f>'code gen'!$A$57:$A$63</c:f>
              <c:strCache>
                <c:ptCount val="7"/>
                <c:pt idx="0">
                  <c:v>llama3.3:70b</c:v>
                </c:pt>
                <c:pt idx="1">
                  <c:v>gemma4:31b</c:v>
                </c:pt>
                <c:pt idx="2">
                  <c:v>gemma4:e4b</c:v>
                </c:pt>
                <c:pt idx="3">
                  <c:v>devstral:24B</c:v>
                </c:pt>
                <c:pt idx="4">
                  <c:v>qwen3.6:35b</c:v>
                </c:pt>
                <c:pt idx="5">
                  <c:v>gpt-oss:20b</c:v>
                </c:pt>
                <c:pt idx="6">
                  <c:v>qwen3-coder-next:80B</c:v>
                </c:pt>
              </c:strCache>
            </c:strRef>
          </c:cat>
          <c:val>
            <c:numRef>
              <c:f>'code gen'!$C$57:$C$63</c:f>
              <c:numCache>
                <c:formatCode>0%</c:formatCode>
                <c:ptCount val="7"/>
                <c:pt idx="0">
                  <c:v>0.33333333333333331</c:v>
                </c:pt>
                <c:pt idx="1">
                  <c:v>0.96666666666666667</c:v>
                </c:pt>
                <c:pt idx="2">
                  <c:v>0.36666666666666664</c:v>
                </c:pt>
                <c:pt idx="3">
                  <c:v>0.33333333333333331</c:v>
                </c:pt>
                <c:pt idx="4">
                  <c:v>0.73333333333333328</c:v>
                </c:pt>
                <c:pt idx="5">
                  <c:v>0.66666666666666663</c:v>
                </c:pt>
                <c:pt idx="6">
                  <c:v>0.5</c:v>
                </c:pt>
              </c:numCache>
            </c:numRef>
          </c:val>
          <c:extLst>
            <c:ext xmlns:c16="http://schemas.microsoft.com/office/drawing/2014/chart" uri="{C3380CC4-5D6E-409C-BE32-E72D297353CC}">
              <c16:uniqueId val="{00000001-88A2-FC46-B421-B04FB456314B}"/>
            </c:ext>
          </c:extLst>
        </c:ser>
        <c:ser>
          <c:idx val="2"/>
          <c:order val="2"/>
          <c:tx>
            <c:strRef>
              <c:f>'code gen'!$D$56</c:f>
              <c:strCache>
                <c:ptCount val="1"/>
                <c:pt idx="0">
                  <c:v>fail</c:v>
                </c:pt>
              </c:strCache>
            </c:strRef>
          </c:tx>
          <c:spPr>
            <a:solidFill>
              <a:srgbClr val="C00000"/>
            </a:solidFill>
            <a:ln>
              <a:noFill/>
            </a:ln>
            <a:effectLst/>
          </c:spPr>
          <c:invertIfNegative val="0"/>
          <c:cat>
            <c:strRef>
              <c:f>'code gen'!$A$57:$A$63</c:f>
              <c:strCache>
                <c:ptCount val="7"/>
                <c:pt idx="0">
                  <c:v>llama3.3:70b</c:v>
                </c:pt>
                <c:pt idx="1">
                  <c:v>gemma4:31b</c:v>
                </c:pt>
                <c:pt idx="2">
                  <c:v>gemma4:e4b</c:v>
                </c:pt>
                <c:pt idx="3">
                  <c:v>devstral:24B</c:v>
                </c:pt>
                <c:pt idx="4">
                  <c:v>qwen3.6:35b</c:v>
                </c:pt>
                <c:pt idx="5">
                  <c:v>gpt-oss:20b</c:v>
                </c:pt>
                <c:pt idx="6">
                  <c:v>qwen3-coder-next:80B</c:v>
                </c:pt>
              </c:strCache>
            </c:strRef>
          </c:cat>
          <c:val>
            <c:numRef>
              <c:f>'code gen'!$D$57:$D$63</c:f>
              <c:numCache>
                <c:formatCode>0%</c:formatCode>
                <c:ptCount val="7"/>
                <c:pt idx="0">
                  <c:v>0.66666666666666663</c:v>
                </c:pt>
                <c:pt idx="1">
                  <c:v>3.3333333333333333E-2</c:v>
                </c:pt>
                <c:pt idx="2">
                  <c:v>0.6</c:v>
                </c:pt>
                <c:pt idx="3">
                  <c:v>0.66666666666666663</c:v>
                </c:pt>
                <c:pt idx="4">
                  <c:v>0.26666666666666666</c:v>
                </c:pt>
                <c:pt idx="5">
                  <c:v>0.33333333333333331</c:v>
                </c:pt>
                <c:pt idx="6">
                  <c:v>0.5</c:v>
                </c:pt>
              </c:numCache>
            </c:numRef>
          </c:val>
          <c:extLst>
            <c:ext xmlns:c16="http://schemas.microsoft.com/office/drawing/2014/chart" uri="{C3380CC4-5D6E-409C-BE32-E72D297353CC}">
              <c16:uniqueId val="{00000002-88A2-FC46-B421-B04FB456314B}"/>
            </c:ext>
          </c:extLst>
        </c:ser>
        <c:dLbls>
          <c:showLegendKey val="0"/>
          <c:showVal val="0"/>
          <c:showCatName val="0"/>
          <c:showSerName val="0"/>
          <c:showPercent val="0"/>
          <c:showBubbleSize val="0"/>
        </c:dLbls>
        <c:gapWidth val="219"/>
        <c:overlap val="-27"/>
        <c:axId val="1903266432"/>
        <c:axId val="1452579392"/>
      </c:barChart>
      <c:catAx>
        <c:axId val="190326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52579392"/>
        <c:crosses val="autoZero"/>
        <c:auto val="1"/>
        <c:lblAlgn val="ctr"/>
        <c:lblOffset val="100"/>
        <c:noMultiLvlLbl val="0"/>
      </c:catAx>
      <c:valAx>
        <c:axId val="145257939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0326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'code gen'!$B$77</c:f>
              <c:strCache>
                <c:ptCount val="1"/>
                <c:pt idx="0">
                  <c:v>pass@1</c:v>
                </c:pt>
              </c:strCache>
            </c:strRef>
          </c:tx>
          <c:spPr>
            <a:solidFill>
              <a:srgbClr val="92D050"/>
            </a:solidFill>
            <a:ln>
              <a:noFill/>
            </a:ln>
            <a:effectLst/>
          </c:spPr>
          <c:invertIfNegative val="0"/>
          <c:cat>
            <c:strRef>
              <c:f>'code gen'!$A$78:$A$84</c:f>
              <c:strCache>
                <c:ptCount val="7"/>
                <c:pt idx="0">
                  <c:v>Gemma4 31b</c:v>
                </c:pt>
                <c:pt idx="1">
                  <c:v>Qwen3.6 35b</c:v>
                </c:pt>
                <c:pt idx="2">
                  <c:v>GPT-OSS 20b</c:v>
                </c:pt>
                <c:pt idx="3">
                  <c:v>Qwen3-coder-next 80B</c:v>
                </c:pt>
                <c:pt idx="4">
                  <c:v>Gemma4 E4B</c:v>
                </c:pt>
                <c:pt idx="5">
                  <c:v>Llama3.3 70B</c:v>
                </c:pt>
                <c:pt idx="6">
                  <c:v>Devstral 24B</c:v>
                </c:pt>
              </c:strCache>
            </c:strRef>
          </c:cat>
          <c:val>
            <c:numRef>
              <c:f>'code gen'!$B$78:$B$84</c:f>
              <c:numCache>
                <c:formatCode>0%</c:formatCode>
                <c:ptCount val="7"/>
                <c:pt idx="0">
                  <c:v>0.6</c:v>
                </c:pt>
                <c:pt idx="1">
                  <c:v>0.4</c:v>
                </c:pt>
                <c:pt idx="2">
                  <c:v>0.2</c:v>
                </c:pt>
                <c:pt idx="3">
                  <c:v>0.23333333333333334</c:v>
                </c:pt>
                <c:pt idx="4">
                  <c:v>6.6666666666666666E-2</c:v>
                </c:pt>
                <c:pt idx="5">
                  <c:v>0.1</c:v>
                </c:pt>
                <c:pt idx="6">
                  <c:v>0.1</c:v>
                </c:pt>
              </c:numCache>
            </c:numRef>
          </c:val>
          <c:extLst>
            <c:ext xmlns:c16="http://schemas.microsoft.com/office/drawing/2014/chart" uri="{C3380CC4-5D6E-409C-BE32-E72D297353CC}">
              <c16:uniqueId val="{00000000-40FA-AE40-965E-FA839A5902C0}"/>
            </c:ext>
          </c:extLst>
        </c:ser>
        <c:ser>
          <c:idx val="1"/>
          <c:order val="1"/>
          <c:tx>
            <c:strRef>
              <c:f>'code gen'!$C$77</c:f>
              <c:strCache>
                <c:ptCount val="1"/>
                <c:pt idx="0">
                  <c:v>pass@*</c:v>
                </c:pt>
              </c:strCache>
            </c:strRef>
          </c:tx>
          <c:spPr>
            <a:solidFill>
              <a:srgbClr val="00B0F0"/>
            </a:solidFill>
            <a:ln>
              <a:noFill/>
            </a:ln>
            <a:effectLst/>
          </c:spPr>
          <c:invertIfNegative val="0"/>
          <c:cat>
            <c:strRef>
              <c:f>'code gen'!$A$78:$A$84</c:f>
              <c:strCache>
                <c:ptCount val="7"/>
                <c:pt idx="0">
                  <c:v>Gemma4 31b</c:v>
                </c:pt>
                <c:pt idx="1">
                  <c:v>Qwen3.6 35b</c:v>
                </c:pt>
                <c:pt idx="2">
                  <c:v>GPT-OSS 20b</c:v>
                </c:pt>
                <c:pt idx="3">
                  <c:v>Qwen3-coder-next 80B</c:v>
                </c:pt>
                <c:pt idx="4">
                  <c:v>Gemma4 E4B</c:v>
                </c:pt>
                <c:pt idx="5">
                  <c:v>Llama3.3 70B</c:v>
                </c:pt>
                <c:pt idx="6">
                  <c:v>Devstral 24B</c:v>
                </c:pt>
              </c:strCache>
            </c:strRef>
          </c:cat>
          <c:val>
            <c:numRef>
              <c:f>'code gen'!$C$78:$C$84</c:f>
              <c:numCache>
                <c:formatCode>0%</c:formatCode>
                <c:ptCount val="7"/>
                <c:pt idx="0">
                  <c:v>0.96666666666666667</c:v>
                </c:pt>
                <c:pt idx="1">
                  <c:v>0.73333333333333328</c:v>
                </c:pt>
                <c:pt idx="2">
                  <c:v>0.66666666666666663</c:v>
                </c:pt>
                <c:pt idx="3">
                  <c:v>0.5</c:v>
                </c:pt>
                <c:pt idx="4">
                  <c:v>0.36666666666666664</c:v>
                </c:pt>
                <c:pt idx="5">
                  <c:v>0.33333333333333331</c:v>
                </c:pt>
                <c:pt idx="6">
                  <c:v>0.33333333333333331</c:v>
                </c:pt>
              </c:numCache>
            </c:numRef>
          </c:val>
          <c:extLst>
            <c:ext xmlns:c16="http://schemas.microsoft.com/office/drawing/2014/chart" uri="{C3380CC4-5D6E-409C-BE32-E72D297353CC}">
              <c16:uniqueId val="{00000001-40FA-AE40-965E-FA839A5902C0}"/>
            </c:ext>
          </c:extLst>
        </c:ser>
        <c:ser>
          <c:idx val="2"/>
          <c:order val="2"/>
          <c:tx>
            <c:strRef>
              <c:f>'code gen'!$D$77</c:f>
              <c:strCache>
                <c:ptCount val="1"/>
                <c:pt idx="0">
                  <c:v>fail</c:v>
                </c:pt>
              </c:strCache>
            </c:strRef>
          </c:tx>
          <c:spPr>
            <a:solidFill>
              <a:srgbClr val="C00000"/>
            </a:solidFill>
            <a:ln>
              <a:noFill/>
            </a:ln>
            <a:effectLst/>
          </c:spPr>
          <c:invertIfNegative val="0"/>
          <c:cat>
            <c:strRef>
              <c:f>'code gen'!$A$78:$A$84</c:f>
              <c:strCache>
                <c:ptCount val="7"/>
                <c:pt idx="0">
                  <c:v>Gemma4 31b</c:v>
                </c:pt>
                <c:pt idx="1">
                  <c:v>Qwen3.6 35b</c:v>
                </c:pt>
                <c:pt idx="2">
                  <c:v>GPT-OSS 20b</c:v>
                </c:pt>
                <c:pt idx="3">
                  <c:v>Qwen3-coder-next 80B</c:v>
                </c:pt>
                <c:pt idx="4">
                  <c:v>Gemma4 E4B</c:v>
                </c:pt>
                <c:pt idx="5">
                  <c:v>Llama3.3 70B</c:v>
                </c:pt>
                <c:pt idx="6">
                  <c:v>Devstral 24B</c:v>
                </c:pt>
              </c:strCache>
            </c:strRef>
          </c:cat>
          <c:val>
            <c:numRef>
              <c:f>'code gen'!$D$78:$D$84</c:f>
              <c:numCache>
                <c:formatCode>0%</c:formatCode>
                <c:ptCount val="7"/>
                <c:pt idx="0">
                  <c:v>3.3333333333333333E-2</c:v>
                </c:pt>
                <c:pt idx="1">
                  <c:v>0.26666666666666666</c:v>
                </c:pt>
                <c:pt idx="2">
                  <c:v>0.33333333333333331</c:v>
                </c:pt>
                <c:pt idx="3">
                  <c:v>0.5</c:v>
                </c:pt>
                <c:pt idx="4">
                  <c:v>0.6</c:v>
                </c:pt>
                <c:pt idx="5">
                  <c:v>0.66666666666666663</c:v>
                </c:pt>
                <c:pt idx="6">
                  <c:v>0.66666666666666663</c:v>
                </c:pt>
              </c:numCache>
            </c:numRef>
          </c:val>
          <c:extLst>
            <c:ext xmlns:c16="http://schemas.microsoft.com/office/drawing/2014/chart" uri="{C3380CC4-5D6E-409C-BE32-E72D297353CC}">
              <c16:uniqueId val="{00000002-40FA-AE40-965E-FA839A5902C0}"/>
            </c:ext>
          </c:extLst>
        </c:ser>
        <c:dLbls>
          <c:showLegendKey val="0"/>
          <c:showVal val="0"/>
          <c:showCatName val="0"/>
          <c:showSerName val="0"/>
          <c:showPercent val="0"/>
          <c:showBubbleSize val="0"/>
        </c:dLbls>
        <c:gapWidth val="219"/>
        <c:overlap val="-27"/>
        <c:axId val="992208960"/>
        <c:axId val="992210752"/>
      </c:barChart>
      <c:catAx>
        <c:axId val="9922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2210752"/>
        <c:crosses val="autoZero"/>
        <c:auto val="1"/>
        <c:lblAlgn val="ctr"/>
        <c:lblOffset val="100"/>
        <c:noMultiLvlLbl val="0"/>
      </c:catAx>
      <c:valAx>
        <c:axId val="99221075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220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47584991767746"/>
          <c:y val="4.0477897795770004E-2"/>
          <c:w val="0.85042696657054628"/>
          <c:h val="0.677292312106195"/>
        </c:manualLayout>
      </c:layout>
      <c:barChart>
        <c:barDir val="col"/>
        <c:grouping val="clustered"/>
        <c:varyColors val="0"/>
        <c:ser>
          <c:idx val="0"/>
          <c:order val="0"/>
          <c:tx>
            <c:strRef>
              <c:f>soundness!$H$93</c:f>
              <c:strCache>
                <c:ptCount val="1"/>
                <c:pt idx="0">
                  <c:v>FER (fail+inc) SimpleNLTestRunner</c:v>
                </c:pt>
              </c:strCache>
            </c:strRef>
          </c:tx>
          <c:spPr>
            <a:solidFill>
              <a:schemeClr val="accent1"/>
            </a:solidFill>
            <a:ln>
              <a:noFill/>
            </a:ln>
            <a:effectLst/>
          </c:spPr>
          <c:invertIfNegative val="0"/>
          <c:cat>
            <c:strRef>
              <c:f>soundness!$G$97:$G$99</c:f>
              <c:strCache>
                <c:ptCount val="3"/>
                <c:pt idx="0">
                  <c:v>TestG</c:v>
                </c:pt>
                <c:pt idx="1">
                  <c:v>TestA</c:v>
                </c:pt>
                <c:pt idx="2">
                  <c:v>Mean</c:v>
                </c:pt>
              </c:strCache>
            </c:strRef>
          </c:cat>
          <c:val>
            <c:numRef>
              <c:f>soundness!$H$97:$H$99</c:f>
              <c:numCache>
                <c:formatCode>0.00%</c:formatCode>
                <c:ptCount val="3"/>
                <c:pt idx="0">
                  <c:v>0.16527777777777777</c:v>
                </c:pt>
                <c:pt idx="1">
                  <c:v>7.857142857142857E-2</c:v>
                </c:pt>
                <c:pt idx="2">
                  <c:v>0.12734375000000001</c:v>
                </c:pt>
              </c:numCache>
            </c:numRef>
          </c:val>
          <c:extLst>
            <c:ext xmlns:c16="http://schemas.microsoft.com/office/drawing/2014/chart" uri="{C3380CC4-5D6E-409C-BE32-E72D297353CC}">
              <c16:uniqueId val="{00000000-541D-E14F-A17C-1ACF7B78BC98}"/>
            </c:ext>
          </c:extLst>
        </c:ser>
        <c:ser>
          <c:idx val="1"/>
          <c:order val="1"/>
          <c:tx>
            <c:strRef>
              <c:f>soundness!$I$93</c:f>
              <c:strCache>
                <c:ptCount val="1"/>
                <c:pt idx="0">
                  <c:v>FER SimpleNLTestRunner (fail only)</c:v>
                </c:pt>
              </c:strCache>
            </c:strRef>
          </c:tx>
          <c:spPr>
            <a:solidFill>
              <a:schemeClr val="accent2"/>
            </a:solidFill>
            <a:ln>
              <a:noFill/>
            </a:ln>
            <a:effectLst/>
          </c:spPr>
          <c:invertIfNegative val="0"/>
          <c:cat>
            <c:strRef>
              <c:f>soundness!$G$97:$G$99</c:f>
              <c:strCache>
                <c:ptCount val="3"/>
                <c:pt idx="0">
                  <c:v>TestG</c:v>
                </c:pt>
                <c:pt idx="1">
                  <c:v>TestA</c:v>
                </c:pt>
                <c:pt idx="2">
                  <c:v>Mean</c:v>
                </c:pt>
              </c:strCache>
            </c:strRef>
          </c:cat>
          <c:val>
            <c:numRef>
              <c:f>soundness!$I$97:$I$99</c:f>
              <c:numCache>
                <c:formatCode>0.00%</c:formatCode>
                <c:ptCount val="3"/>
                <c:pt idx="0">
                  <c:v>0.1125</c:v>
                </c:pt>
                <c:pt idx="1">
                  <c:v>7.857142857142857E-2</c:v>
                </c:pt>
                <c:pt idx="2">
                  <c:v>9.765625E-2</c:v>
                </c:pt>
              </c:numCache>
            </c:numRef>
          </c:val>
          <c:extLst>
            <c:ext xmlns:c16="http://schemas.microsoft.com/office/drawing/2014/chart" uri="{C3380CC4-5D6E-409C-BE32-E72D297353CC}">
              <c16:uniqueId val="{00000001-541D-E14F-A17C-1ACF7B78BC98}"/>
            </c:ext>
          </c:extLst>
        </c:ser>
        <c:ser>
          <c:idx val="2"/>
          <c:order val="2"/>
          <c:tx>
            <c:strRef>
              <c:f>soundness!$J$93</c:f>
              <c:strCache>
                <c:ptCount val="1"/>
                <c:pt idx="0">
                  <c:v>FER (fail+inc) NLTestRunner </c:v>
                </c:pt>
              </c:strCache>
            </c:strRef>
          </c:tx>
          <c:spPr>
            <a:solidFill>
              <a:schemeClr val="accent3"/>
            </a:solidFill>
            <a:ln>
              <a:noFill/>
            </a:ln>
            <a:effectLst/>
          </c:spPr>
          <c:invertIfNegative val="0"/>
          <c:cat>
            <c:strRef>
              <c:f>soundness!$G$97:$G$99</c:f>
              <c:strCache>
                <c:ptCount val="3"/>
                <c:pt idx="0">
                  <c:v>TestG</c:v>
                </c:pt>
                <c:pt idx="1">
                  <c:v>TestA</c:v>
                </c:pt>
                <c:pt idx="2">
                  <c:v>Mean</c:v>
                </c:pt>
              </c:strCache>
            </c:strRef>
          </c:cat>
          <c:val>
            <c:numRef>
              <c:f>soundness!$J$97:$J$99</c:f>
              <c:numCache>
                <c:formatCode>0.00%</c:formatCode>
                <c:ptCount val="3"/>
                <c:pt idx="0">
                  <c:v>0.14583333333333334</c:v>
                </c:pt>
                <c:pt idx="1">
                  <c:v>4.2857142857142858E-2</c:v>
                </c:pt>
                <c:pt idx="2">
                  <c:v>0.10078125</c:v>
                </c:pt>
              </c:numCache>
            </c:numRef>
          </c:val>
          <c:extLst>
            <c:ext xmlns:c16="http://schemas.microsoft.com/office/drawing/2014/chart" uri="{C3380CC4-5D6E-409C-BE32-E72D297353CC}">
              <c16:uniqueId val="{00000002-541D-E14F-A17C-1ACF7B78BC98}"/>
            </c:ext>
          </c:extLst>
        </c:ser>
        <c:ser>
          <c:idx val="3"/>
          <c:order val="3"/>
          <c:tx>
            <c:strRef>
              <c:f>soundness!$K$93</c:f>
              <c:strCache>
                <c:ptCount val="1"/>
                <c:pt idx="0">
                  <c:v>FER (fail only) NLTestRunner </c:v>
                </c:pt>
              </c:strCache>
            </c:strRef>
          </c:tx>
          <c:spPr>
            <a:solidFill>
              <a:schemeClr val="accent4"/>
            </a:solidFill>
            <a:ln>
              <a:noFill/>
            </a:ln>
            <a:effectLst/>
          </c:spPr>
          <c:invertIfNegative val="0"/>
          <c:cat>
            <c:strRef>
              <c:f>soundness!$G$97:$G$99</c:f>
              <c:strCache>
                <c:ptCount val="3"/>
                <c:pt idx="0">
                  <c:v>TestG</c:v>
                </c:pt>
                <c:pt idx="1">
                  <c:v>TestA</c:v>
                </c:pt>
                <c:pt idx="2">
                  <c:v>Mean</c:v>
                </c:pt>
              </c:strCache>
            </c:strRef>
          </c:cat>
          <c:val>
            <c:numRef>
              <c:f>soundness!$K$97:$K$99</c:f>
              <c:numCache>
                <c:formatCode>0.00%</c:formatCode>
                <c:ptCount val="3"/>
                <c:pt idx="0">
                  <c:v>2.5000000000000001E-2</c:v>
                </c:pt>
                <c:pt idx="1">
                  <c:v>4.2857142857142858E-2</c:v>
                </c:pt>
                <c:pt idx="2">
                  <c:v>3.2812500000000001E-2</c:v>
                </c:pt>
              </c:numCache>
            </c:numRef>
          </c:val>
          <c:extLst>
            <c:ext xmlns:c16="http://schemas.microsoft.com/office/drawing/2014/chart" uri="{C3380CC4-5D6E-409C-BE32-E72D297353CC}">
              <c16:uniqueId val="{00000003-541D-E14F-A17C-1ACF7B78BC98}"/>
            </c:ext>
          </c:extLst>
        </c:ser>
        <c:dLbls>
          <c:showLegendKey val="0"/>
          <c:showVal val="0"/>
          <c:showCatName val="0"/>
          <c:showSerName val="0"/>
          <c:showPercent val="0"/>
          <c:showBubbleSize val="0"/>
        </c:dLbls>
        <c:gapWidth val="219"/>
        <c:overlap val="-27"/>
        <c:axId val="963359840"/>
        <c:axId val="769932848"/>
      </c:barChart>
      <c:catAx>
        <c:axId val="96335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9932848"/>
        <c:crosses val="autoZero"/>
        <c:auto val="1"/>
        <c:lblAlgn val="ctr"/>
        <c:lblOffset val="100"/>
        <c:noMultiLvlLbl val="0"/>
      </c:catAx>
      <c:valAx>
        <c:axId val="769932848"/>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63359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soundness!$B$93</c:f>
              <c:strCache>
                <c:ptCount val="1"/>
                <c:pt idx="0">
                  <c:v>FER  (fail+inc) SimpleNLTestRunner</c:v>
                </c:pt>
              </c:strCache>
            </c:strRef>
          </c:tx>
          <c:spPr>
            <a:solidFill>
              <a:schemeClr val="accent1"/>
            </a:solidFill>
            <a:ln>
              <a:noFill/>
            </a:ln>
            <a:effectLst/>
          </c:spPr>
          <c:invertIfNegative val="0"/>
          <c:cat>
            <c:strRef>
              <c:f>soundness!$A$97:$A$99</c:f>
              <c:strCache>
                <c:ptCount val="3"/>
                <c:pt idx="0">
                  <c:v>TestG</c:v>
                </c:pt>
                <c:pt idx="1">
                  <c:v>TestA</c:v>
                </c:pt>
                <c:pt idx="2">
                  <c:v>Mean</c:v>
                </c:pt>
              </c:strCache>
            </c:strRef>
          </c:cat>
          <c:val>
            <c:numRef>
              <c:f>soundness!$B$97:$B$99</c:f>
              <c:numCache>
                <c:formatCode>0.00%</c:formatCode>
                <c:ptCount val="3"/>
                <c:pt idx="0">
                  <c:v>5.5555555555555558E-3</c:v>
                </c:pt>
                <c:pt idx="1">
                  <c:v>3.7499999999999999E-2</c:v>
                </c:pt>
                <c:pt idx="2">
                  <c:v>1.953125E-2</c:v>
                </c:pt>
              </c:numCache>
            </c:numRef>
          </c:val>
          <c:extLst>
            <c:ext xmlns:c16="http://schemas.microsoft.com/office/drawing/2014/chart" uri="{C3380CC4-5D6E-409C-BE32-E72D297353CC}">
              <c16:uniqueId val="{00000000-D268-3045-B053-0233B7E33520}"/>
            </c:ext>
          </c:extLst>
        </c:ser>
        <c:ser>
          <c:idx val="1"/>
          <c:order val="1"/>
          <c:tx>
            <c:strRef>
              <c:f>soundness!$C$93</c:f>
              <c:strCache>
                <c:ptCount val="1"/>
                <c:pt idx="0">
                  <c:v>FER (fail only) SimpleNLTestRunner</c:v>
                </c:pt>
              </c:strCache>
            </c:strRef>
          </c:tx>
          <c:spPr>
            <a:solidFill>
              <a:schemeClr val="accent2"/>
            </a:solidFill>
            <a:ln>
              <a:noFill/>
            </a:ln>
            <a:effectLst/>
          </c:spPr>
          <c:invertIfNegative val="0"/>
          <c:cat>
            <c:strRef>
              <c:f>soundness!$A$97:$A$99</c:f>
              <c:strCache>
                <c:ptCount val="3"/>
                <c:pt idx="0">
                  <c:v>TestG</c:v>
                </c:pt>
                <c:pt idx="1">
                  <c:v>TestA</c:v>
                </c:pt>
                <c:pt idx="2">
                  <c:v>Mean</c:v>
                </c:pt>
              </c:strCache>
            </c:strRef>
          </c:cat>
          <c:val>
            <c:numRef>
              <c:f>soundness!$C$97:$C$99</c:f>
              <c:numCache>
                <c:formatCode>0.00%</c:formatCode>
                <c:ptCount val="3"/>
                <c:pt idx="0">
                  <c:v>5.5555555555555558E-3</c:v>
                </c:pt>
                <c:pt idx="1">
                  <c:v>3.5714285714285712E-2</c:v>
                </c:pt>
                <c:pt idx="2">
                  <c:v>1.8749999999999999E-2</c:v>
                </c:pt>
              </c:numCache>
            </c:numRef>
          </c:val>
          <c:extLst>
            <c:ext xmlns:c16="http://schemas.microsoft.com/office/drawing/2014/chart" uri="{C3380CC4-5D6E-409C-BE32-E72D297353CC}">
              <c16:uniqueId val="{00000001-D268-3045-B053-0233B7E33520}"/>
            </c:ext>
          </c:extLst>
        </c:ser>
        <c:ser>
          <c:idx val="2"/>
          <c:order val="2"/>
          <c:tx>
            <c:strRef>
              <c:f>soundness!$D$93</c:f>
              <c:strCache>
                <c:ptCount val="1"/>
                <c:pt idx="0">
                  <c:v>FER (fail+inc) NLTestRunner</c:v>
                </c:pt>
              </c:strCache>
            </c:strRef>
          </c:tx>
          <c:spPr>
            <a:solidFill>
              <a:schemeClr val="accent3"/>
            </a:solidFill>
            <a:ln>
              <a:noFill/>
            </a:ln>
            <a:effectLst/>
          </c:spPr>
          <c:invertIfNegative val="0"/>
          <c:cat>
            <c:strRef>
              <c:f>soundness!$A$97:$A$99</c:f>
              <c:strCache>
                <c:ptCount val="3"/>
                <c:pt idx="0">
                  <c:v>TestG</c:v>
                </c:pt>
                <c:pt idx="1">
                  <c:v>TestA</c:v>
                </c:pt>
                <c:pt idx="2">
                  <c:v>Mean</c:v>
                </c:pt>
              </c:strCache>
            </c:strRef>
          </c:cat>
          <c:val>
            <c:numRef>
              <c:f>soundness!$D$97:$D$99</c:f>
              <c:numCache>
                <c:formatCode>0.00%</c:formatCode>
                <c:ptCount val="3"/>
                <c:pt idx="0">
                  <c:v>1.1111111111111112E-2</c:v>
                </c:pt>
                <c:pt idx="1">
                  <c:v>0</c:v>
                </c:pt>
                <c:pt idx="2">
                  <c:v>6.2500000000000003E-3</c:v>
                </c:pt>
              </c:numCache>
            </c:numRef>
          </c:val>
          <c:extLst>
            <c:ext xmlns:c16="http://schemas.microsoft.com/office/drawing/2014/chart" uri="{C3380CC4-5D6E-409C-BE32-E72D297353CC}">
              <c16:uniqueId val="{00000002-D268-3045-B053-0233B7E33520}"/>
            </c:ext>
          </c:extLst>
        </c:ser>
        <c:ser>
          <c:idx val="3"/>
          <c:order val="3"/>
          <c:tx>
            <c:strRef>
              <c:f>soundness!$E$93</c:f>
              <c:strCache>
                <c:ptCount val="1"/>
                <c:pt idx="0">
                  <c:v>FER (fail only) NLTestRunner </c:v>
                </c:pt>
              </c:strCache>
            </c:strRef>
          </c:tx>
          <c:spPr>
            <a:solidFill>
              <a:schemeClr val="accent4"/>
            </a:solidFill>
            <a:ln>
              <a:noFill/>
            </a:ln>
            <a:effectLst/>
          </c:spPr>
          <c:invertIfNegative val="0"/>
          <c:cat>
            <c:strRef>
              <c:f>soundness!$A$97:$A$99</c:f>
              <c:strCache>
                <c:ptCount val="3"/>
                <c:pt idx="0">
                  <c:v>TestG</c:v>
                </c:pt>
                <c:pt idx="1">
                  <c:v>TestA</c:v>
                </c:pt>
                <c:pt idx="2">
                  <c:v>Mean</c:v>
                </c:pt>
              </c:strCache>
            </c:strRef>
          </c:cat>
          <c:val>
            <c:numRef>
              <c:f>soundness!$E$97:$E$99</c:f>
              <c:numCache>
                <c:formatCode>0.00%</c:formatCode>
                <c:ptCount val="3"/>
                <c:pt idx="0">
                  <c:v>1.3888888888888889E-3</c:v>
                </c:pt>
                <c:pt idx="1">
                  <c:v>0</c:v>
                </c:pt>
                <c:pt idx="2">
                  <c:v>7.8125000000000004E-4</c:v>
                </c:pt>
              </c:numCache>
            </c:numRef>
          </c:val>
          <c:extLst>
            <c:ext xmlns:c16="http://schemas.microsoft.com/office/drawing/2014/chart" uri="{C3380CC4-5D6E-409C-BE32-E72D297353CC}">
              <c16:uniqueId val="{00000003-D268-3045-B053-0233B7E33520}"/>
            </c:ext>
          </c:extLst>
        </c:ser>
        <c:dLbls>
          <c:showLegendKey val="0"/>
          <c:showVal val="0"/>
          <c:showCatName val="0"/>
          <c:showSerName val="0"/>
          <c:showPercent val="0"/>
          <c:showBubbleSize val="0"/>
        </c:dLbls>
        <c:gapWidth val="219"/>
        <c:overlap val="-27"/>
        <c:axId val="789645888"/>
        <c:axId val="789647600"/>
      </c:barChart>
      <c:catAx>
        <c:axId val="78964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89647600"/>
        <c:crosses val="autoZero"/>
        <c:auto val="1"/>
        <c:lblAlgn val="ctr"/>
        <c:lblOffset val="100"/>
        <c:noMultiLvlLbl val="0"/>
      </c:catAx>
      <c:valAx>
        <c:axId val="789647600"/>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89645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31714785651794"/>
          <c:y val="4.9001382000322703E-2"/>
          <c:w val="0.85212729658792652"/>
          <c:h val="0.67144036996140133"/>
        </c:manualLayout>
      </c:layout>
      <c:barChart>
        <c:barDir val="col"/>
        <c:grouping val="clustered"/>
        <c:varyColors val="0"/>
        <c:ser>
          <c:idx val="0"/>
          <c:order val="0"/>
          <c:tx>
            <c:strRef>
              <c:f>soundness!$P$93</c:f>
              <c:strCache>
                <c:ptCount val="1"/>
                <c:pt idx="0">
                  <c:v>FER (fail+inc) SimpleNLTestRunner</c:v>
                </c:pt>
              </c:strCache>
            </c:strRef>
          </c:tx>
          <c:spPr>
            <a:solidFill>
              <a:schemeClr val="accent1"/>
            </a:solidFill>
            <a:ln>
              <a:noFill/>
            </a:ln>
            <a:effectLst/>
          </c:spPr>
          <c:invertIfNegative val="0"/>
          <c:cat>
            <c:strRef>
              <c:f>soundness!$O$97:$O$99</c:f>
              <c:strCache>
                <c:ptCount val="3"/>
                <c:pt idx="0">
                  <c:v>TestG</c:v>
                </c:pt>
                <c:pt idx="1">
                  <c:v>TestA</c:v>
                </c:pt>
                <c:pt idx="2">
                  <c:v>Mean</c:v>
                </c:pt>
              </c:strCache>
            </c:strRef>
          </c:cat>
          <c:val>
            <c:numRef>
              <c:f>soundness!$P$97:$P$99</c:f>
              <c:numCache>
                <c:formatCode>0.00%</c:formatCode>
                <c:ptCount val="3"/>
                <c:pt idx="0">
                  <c:v>0.46805555555555556</c:v>
                </c:pt>
                <c:pt idx="1">
                  <c:v>0.1357142857142857</c:v>
                </c:pt>
                <c:pt idx="2">
                  <c:v>0.32265624999999998</c:v>
                </c:pt>
              </c:numCache>
            </c:numRef>
          </c:val>
          <c:extLst>
            <c:ext xmlns:c16="http://schemas.microsoft.com/office/drawing/2014/chart" uri="{C3380CC4-5D6E-409C-BE32-E72D297353CC}">
              <c16:uniqueId val="{00000000-6E96-5749-BCC4-FDC58711A28A}"/>
            </c:ext>
          </c:extLst>
        </c:ser>
        <c:ser>
          <c:idx val="1"/>
          <c:order val="1"/>
          <c:tx>
            <c:strRef>
              <c:f>soundness!$Q$93</c:f>
              <c:strCache>
                <c:ptCount val="1"/>
                <c:pt idx="0">
                  <c:v>FER (fail only) SimpleNLTestRunner</c:v>
                </c:pt>
              </c:strCache>
            </c:strRef>
          </c:tx>
          <c:spPr>
            <a:solidFill>
              <a:schemeClr val="accent2"/>
            </a:solidFill>
            <a:ln>
              <a:noFill/>
            </a:ln>
            <a:effectLst/>
          </c:spPr>
          <c:invertIfNegative val="0"/>
          <c:cat>
            <c:strRef>
              <c:f>soundness!$O$97:$O$99</c:f>
              <c:strCache>
                <c:ptCount val="3"/>
                <c:pt idx="0">
                  <c:v>TestG</c:v>
                </c:pt>
                <c:pt idx="1">
                  <c:v>TestA</c:v>
                </c:pt>
                <c:pt idx="2">
                  <c:v>Mean</c:v>
                </c:pt>
              </c:strCache>
            </c:strRef>
          </c:cat>
          <c:val>
            <c:numRef>
              <c:f>soundness!$Q$97:$Q$99</c:f>
              <c:numCache>
                <c:formatCode>0.00%</c:formatCode>
                <c:ptCount val="3"/>
                <c:pt idx="0">
                  <c:v>0.45555555555555555</c:v>
                </c:pt>
                <c:pt idx="1">
                  <c:v>0.1357142857142857</c:v>
                </c:pt>
                <c:pt idx="2">
                  <c:v>0.31562499999999999</c:v>
                </c:pt>
              </c:numCache>
            </c:numRef>
          </c:val>
          <c:extLst>
            <c:ext xmlns:c16="http://schemas.microsoft.com/office/drawing/2014/chart" uri="{C3380CC4-5D6E-409C-BE32-E72D297353CC}">
              <c16:uniqueId val="{00000001-6E96-5749-BCC4-FDC58711A28A}"/>
            </c:ext>
          </c:extLst>
        </c:ser>
        <c:ser>
          <c:idx val="2"/>
          <c:order val="2"/>
          <c:tx>
            <c:strRef>
              <c:f>soundness!$R$93</c:f>
              <c:strCache>
                <c:ptCount val="1"/>
                <c:pt idx="0">
                  <c:v>FER (fail+inc) NLTestRunner </c:v>
                </c:pt>
              </c:strCache>
            </c:strRef>
          </c:tx>
          <c:spPr>
            <a:solidFill>
              <a:schemeClr val="accent3"/>
            </a:solidFill>
            <a:ln>
              <a:noFill/>
            </a:ln>
            <a:effectLst/>
          </c:spPr>
          <c:invertIfNegative val="0"/>
          <c:cat>
            <c:strRef>
              <c:f>soundness!$O$97:$O$99</c:f>
              <c:strCache>
                <c:ptCount val="3"/>
                <c:pt idx="0">
                  <c:v>TestG</c:v>
                </c:pt>
                <c:pt idx="1">
                  <c:v>TestA</c:v>
                </c:pt>
                <c:pt idx="2">
                  <c:v>Mean</c:v>
                </c:pt>
              </c:strCache>
            </c:strRef>
          </c:cat>
          <c:val>
            <c:numRef>
              <c:f>soundness!$R$97:$R$99</c:f>
              <c:numCache>
                <c:formatCode>0.00%</c:formatCode>
                <c:ptCount val="3"/>
                <c:pt idx="0">
                  <c:v>0.51527777777777772</c:v>
                </c:pt>
                <c:pt idx="1">
                  <c:v>0.11964285714285715</c:v>
                </c:pt>
                <c:pt idx="2">
                  <c:v>0.34218749999999998</c:v>
                </c:pt>
              </c:numCache>
            </c:numRef>
          </c:val>
          <c:extLst>
            <c:ext xmlns:c16="http://schemas.microsoft.com/office/drawing/2014/chart" uri="{C3380CC4-5D6E-409C-BE32-E72D297353CC}">
              <c16:uniqueId val="{00000002-6E96-5749-BCC4-FDC58711A28A}"/>
            </c:ext>
          </c:extLst>
        </c:ser>
        <c:ser>
          <c:idx val="3"/>
          <c:order val="3"/>
          <c:tx>
            <c:strRef>
              <c:f>soundness!$S$93</c:f>
              <c:strCache>
                <c:ptCount val="1"/>
                <c:pt idx="0">
                  <c:v>FER (fail only) NLTestRunner </c:v>
                </c:pt>
              </c:strCache>
            </c:strRef>
          </c:tx>
          <c:spPr>
            <a:solidFill>
              <a:schemeClr val="accent4"/>
            </a:solidFill>
            <a:ln>
              <a:noFill/>
            </a:ln>
            <a:effectLst/>
          </c:spPr>
          <c:invertIfNegative val="0"/>
          <c:cat>
            <c:strRef>
              <c:f>soundness!$O$97:$O$99</c:f>
              <c:strCache>
                <c:ptCount val="3"/>
                <c:pt idx="0">
                  <c:v>TestG</c:v>
                </c:pt>
                <c:pt idx="1">
                  <c:v>TestA</c:v>
                </c:pt>
                <c:pt idx="2">
                  <c:v>Mean</c:v>
                </c:pt>
              </c:strCache>
            </c:strRef>
          </c:cat>
          <c:val>
            <c:numRef>
              <c:f>soundness!$S$97:$S$99</c:f>
              <c:numCache>
                <c:formatCode>0.00%</c:formatCode>
                <c:ptCount val="3"/>
                <c:pt idx="0">
                  <c:v>0.33889999999999998</c:v>
                </c:pt>
                <c:pt idx="1">
                  <c:v>0.11964285714285715</c:v>
                </c:pt>
                <c:pt idx="2">
                  <c:v>0.24296875000000001</c:v>
                </c:pt>
              </c:numCache>
            </c:numRef>
          </c:val>
          <c:extLst>
            <c:ext xmlns:c16="http://schemas.microsoft.com/office/drawing/2014/chart" uri="{C3380CC4-5D6E-409C-BE32-E72D297353CC}">
              <c16:uniqueId val="{00000003-6E96-5749-BCC4-FDC58711A28A}"/>
            </c:ext>
          </c:extLst>
        </c:ser>
        <c:dLbls>
          <c:showLegendKey val="0"/>
          <c:showVal val="0"/>
          <c:showCatName val="0"/>
          <c:showSerName val="0"/>
          <c:showPercent val="0"/>
          <c:showBubbleSize val="0"/>
        </c:dLbls>
        <c:gapWidth val="219"/>
        <c:overlap val="-27"/>
        <c:axId val="1681041504"/>
        <c:axId val="1681043216"/>
      </c:barChart>
      <c:catAx>
        <c:axId val="168104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81043216"/>
        <c:crosses val="autoZero"/>
        <c:auto val="1"/>
        <c:lblAlgn val="ctr"/>
        <c:lblOffset val="100"/>
        <c:noMultiLvlLbl val="0"/>
      </c:catAx>
      <c:valAx>
        <c:axId val="1681043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8104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soundness!$V$84</c:f>
              <c:strCache>
                <c:ptCount val="1"/>
                <c:pt idx="0">
                  <c:v>Unsound test R, (fail+inc) SimpleNLTestRunner </c:v>
                </c:pt>
              </c:strCache>
            </c:strRef>
          </c:tx>
          <c:spPr>
            <a:solidFill>
              <a:schemeClr val="accent1"/>
            </a:solidFill>
            <a:ln>
              <a:noFill/>
            </a:ln>
            <a:effectLst/>
          </c:spPr>
          <c:invertIfNegative val="0"/>
          <c:cat>
            <c:strRef>
              <c:f>soundness!$U$85:$U$87</c:f>
              <c:strCache>
                <c:ptCount val="3"/>
                <c:pt idx="0">
                  <c:v>llama3,1:70B</c:v>
                </c:pt>
                <c:pt idx="1">
                  <c:v>qwen3 14B</c:v>
                </c:pt>
                <c:pt idx="2">
                  <c:v>mistral:nemo</c:v>
                </c:pt>
              </c:strCache>
            </c:strRef>
          </c:cat>
          <c:val>
            <c:numRef>
              <c:f>soundness!$V$85:$V$87</c:f>
              <c:numCache>
                <c:formatCode>0.00%</c:formatCode>
                <c:ptCount val="3"/>
                <c:pt idx="0">
                  <c:v>7.8125E-2</c:v>
                </c:pt>
                <c:pt idx="1">
                  <c:v>0.328125</c:v>
                </c:pt>
                <c:pt idx="2">
                  <c:v>0.40625</c:v>
                </c:pt>
              </c:numCache>
            </c:numRef>
          </c:val>
          <c:extLst>
            <c:ext xmlns:c16="http://schemas.microsoft.com/office/drawing/2014/chart" uri="{C3380CC4-5D6E-409C-BE32-E72D297353CC}">
              <c16:uniqueId val="{00000000-39BF-9147-BC5F-3CBBDDA2E364}"/>
            </c:ext>
          </c:extLst>
        </c:ser>
        <c:ser>
          <c:idx val="1"/>
          <c:order val="1"/>
          <c:tx>
            <c:strRef>
              <c:f>soundness!$W$84</c:f>
              <c:strCache>
                <c:ptCount val="1"/>
                <c:pt idx="0">
                  <c:v>Unsound test R, (fail only) SimpleNLTestRunner </c:v>
                </c:pt>
              </c:strCache>
            </c:strRef>
          </c:tx>
          <c:spPr>
            <a:solidFill>
              <a:schemeClr val="accent2"/>
            </a:solidFill>
            <a:ln>
              <a:noFill/>
            </a:ln>
            <a:effectLst/>
          </c:spPr>
          <c:invertIfNegative val="0"/>
          <c:cat>
            <c:strRef>
              <c:f>soundness!$U$85:$U$87</c:f>
              <c:strCache>
                <c:ptCount val="3"/>
                <c:pt idx="0">
                  <c:v>llama3,1:70B</c:v>
                </c:pt>
                <c:pt idx="1">
                  <c:v>qwen3 14B</c:v>
                </c:pt>
                <c:pt idx="2">
                  <c:v>mistral:nemo</c:v>
                </c:pt>
              </c:strCache>
            </c:strRef>
          </c:cat>
          <c:val>
            <c:numRef>
              <c:f>soundness!$W$85:$W$87</c:f>
              <c:numCache>
                <c:formatCode>0.00%</c:formatCode>
                <c:ptCount val="3"/>
                <c:pt idx="0">
                  <c:v>6.25E-2</c:v>
                </c:pt>
                <c:pt idx="1">
                  <c:v>0.234375</c:v>
                </c:pt>
                <c:pt idx="2">
                  <c:v>0.40625</c:v>
                </c:pt>
              </c:numCache>
            </c:numRef>
          </c:val>
          <c:extLst>
            <c:ext xmlns:c16="http://schemas.microsoft.com/office/drawing/2014/chart" uri="{C3380CC4-5D6E-409C-BE32-E72D297353CC}">
              <c16:uniqueId val="{00000001-39BF-9147-BC5F-3CBBDDA2E364}"/>
            </c:ext>
          </c:extLst>
        </c:ser>
        <c:ser>
          <c:idx val="2"/>
          <c:order val="2"/>
          <c:tx>
            <c:strRef>
              <c:f>soundness!$X$84</c:f>
              <c:strCache>
                <c:ptCount val="1"/>
                <c:pt idx="0">
                  <c:v>Unsound test R, (fail+inc) NLTestRunner </c:v>
                </c:pt>
              </c:strCache>
            </c:strRef>
          </c:tx>
          <c:spPr>
            <a:solidFill>
              <a:schemeClr val="accent3"/>
            </a:solidFill>
            <a:ln>
              <a:noFill/>
            </a:ln>
            <a:effectLst/>
          </c:spPr>
          <c:invertIfNegative val="0"/>
          <c:cat>
            <c:strRef>
              <c:f>soundness!$U$85:$U$87</c:f>
              <c:strCache>
                <c:ptCount val="3"/>
                <c:pt idx="0">
                  <c:v>llama3,1:70B</c:v>
                </c:pt>
                <c:pt idx="1">
                  <c:v>qwen3 14B</c:v>
                </c:pt>
                <c:pt idx="2">
                  <c:v>mistral:nemo</c:v>
                </c:pt>
              </c:strCache>
            </c:strRef>
          </c:cat>
          <c:val>
            <c:numRef>
              <c:f>soundness!$X$85:$X$87</c:f>
              <c:numCache>
                <c:formatCode>0.00%</c:formatCode>
                <c:ptCount val="3"/>
                <c:pt idx="0">
                  <c:v>9.375E-2</c:v>
                </c:pt>
                <c:pt idx="1">
                  <c:v>0.390625</c:v>
                </c:pt>
                <c:pt idx="2">
                  <c:v>0.421875</c:v>
                </c:pt>
              </c:numCache>
            </c:numRef>
          </c:val>
          <c:extLst>
            <c:ext xmlns:c16="http://schemas.microsoft.com/office/drawing/2014/chart" uri="{C3380CC4-5D6E-409C-BE32-E72D297353CC}">
              <c16:uniqueId val="{00000002-39BF-9147-BC5F-3CBBDDA2E364}"/>
            </c:ext>
          </c:extLst>
        </c:ser>
        <c:ser>
          <c:idx val="3"/>
          <c:order val="3"/>
          <c:tx>
            <c:strRef>
              <c:f>soundness!$Y$84</c:f>
              <c:strCache>
                <c:ptCount val="1"/>
                <c:pt idx="0">
                  <c:v>Unsound test R, (fail only) NLTestRunner </c:v>
                </c:pt>
              </c:strCache>
            </c:strRef>
          </c:tx>
          <c:spPr>
            <a:solidFill>
              <a:schemeClr val="accent4"/>
            </a:solidFill>
            <a:ln>
              <a:noFill/>
            </a:ln>
            <a:effectLst/>
          </c:spPr>
          <c:invertIfNegative val="0"/>
          <c:cat>
            <c:strRef>
              <c:f>soundness!$U$85:$U$87</c:f>
              <c:strCache>
                <c:ptCount val="3"/>
                <c:pt idx="0">
                  <c:v>llama3,1:70B</c:v>
                </c:pt>
                <c:pt idx="1">
                  <c:v>qwen3 14B</c:v>
                </c:pt>
                <c:pt idx="2">
                  <c:v>mistral:nemo</c:v>
                </c:pt>
              </c:strCache>
            </c:strRef>
          </c:cat>
          <c:val>
            <c:numRef>
              <c:f>soundness!$Y$85:$Y$87</c:f>
              <c:numCache>
                <c:formatCode>0.00%</c:formatCode>
                <c:ptCount val="3"/>
                <c:pt idx="0">
                  <c:v>0</c:v>
                </c:pt>
                <c:pt idx="1">
                  <c:v>9.375E-2</c:v>
                </c:pt>
                <c:pt idx="2">
                  <c:v>0.265625</c:v>
                </c:pt>
              </c:numCache>
            </c:numRef>
          </c:val>
          <c:extLst>
            <c:ext xmlns:c16="http://schemas.microsoft.com/office/drawing/2014/chart" uri="{C3380CC4-5D6E-409C-BE32-E72D297353CC}">
              <c16:uniqueId val="{00000003-39BF-9147-BC5F-3CBBDDA2E364}"/>
            </c:ext>
          </c:extLst>
        </c:ser>
        <c:dLbls>
          <c:showLegendKey val="0"/>
          <c:showVal val="0"/>
          <c:showCatName val="0"/>
          <c:showSerName val="0"/>
          <c:showPercent val="0"/>
          <c:showBubbleSize val="0"/>
        </c:dLbls>
        <c:gapWidth val="219"/>
        <c:overlap val="-27"/>
        <c:axId val="1425711104"/>
        <c:axId val="1425712816"/>
      </c:barChart>
      <c:catAx>
        <c:axId val="142571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25712816"/>
        <c:crosses val="autoZero"/>
        <c:auto val="1"/>
        <c:lblAlgn val="ctr"/>
        <c:lblOffset val="100"/>
        <c:noMultiLvlLbl val="0"/>
      </c:catAx>
      <c:valAx>
        <c:axId val="1425712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2571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soundness!$AG$85</c:f>
              <c:strCache>
                <c:ptCount val="1"/>
                <c:pt idx="0">
                  <c:v>llama3,1:70B</c:v>
                </c:pt>
              </c:strCache>
            </c:strRef>
          </c:tx>
          <c:spPr>
            <a:solidFill>
              <a:schemeClr val="accent1"/>
            </a:solidFill>
            <a:ln>
              <a:noFill/>
            </a:ln>
            <a:effectLst/>
          </c:spPr>
          <c:invertIfNegative val="0"/>
          <c:cat>
            <c:strRef>
              <c:f>soundness!$AH$84:$AM$84</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soundness!$AH$85:$AM$85</c:f>
              <c:numCache>
                <c:formatCode>0.00%</c:formatCode>
                <c:ptCount val="6"/>
                <c:pt idx="0">
                  <c:v>8.3333333333333329E-2</c:v>
                </c:pt>
                <c:pt idx="1">
                  <c:v>8.3333333333333329E-2</c:v>
                </c:pt>
                <c:pt idx="2">
                  <c:v>7.1428571428571425E-2</c:v>
                </c:pt>
                <c:pt idx="3">
                  <c:v>3.5714285714285712E-2</c:v>
                </c:pt>
                <c:pt idx="4">
                  <c:v>7.8125E-2</c:v>
                </c:pt>
                <c:pt idx="5">
                  <c:v>6.25E-2</c:v>
                </c:pt>
              </c:numCache>
            </c:numRef>
          </c:val>
          <c:extLst>
            <c:ext xmlns:c16="http://schemas.microsoft.com/office/drawing/2014/chart" uri="{C3380CC4-5D6E-409C-BE32-E72D297353CC}">
              <c16:uniqueId val="{00000000-FF81-F24D-B2FA-C2B85ACAADDC}"/>
            </c:ext>
          </c:extLst>
        </c:ser>
        <c:ser>
          <c:idx val="1"/>
          <c:order val="1"/>
          <c:tx>
            <c:strRef>
              <c:f>soundness!$AG$86</c:f>
              <c:strCache>
                <c:ptCount val="1"/>
                <c:pt idx="0">
                  <c:v>qwen3 14B</c:v>
                </c:pt>
              </c:strCache>
            </c:strRef>
          </c:tx>
          <c:spPr>
            <a:solidFill>
              <a:schemeClr val="accent2"/>
            </a:solidFill>
            <a:ln>
              <a:noFill/>
            </a:ln>
            <a:effectLst/>
          </c:spPr>
          <c:invertIfNegative val="0"/>
          <c:cat>
            <c:strRef>
              <c:f>soundness!$AH$84:$AM$84</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soundness!$AH$86:$AM$86</c:f>
              <c:numCache>
                <c:formatCode>0.00%</c:formatCode>
                <c:ptCount val="6"/>
                <c:pt idx="0">
                  <c:v>0.47222222222222221</c:v>
                </c:pt>
                <c:pt idx="1">
                  <c:v>0.30555555555555558</c:v>
                </c:pt>
                <c:pt idx="2">
                  <c:v>0.14285714285714285</c:v>
                </c:pt>
                <c:pt idx="3">
                  <c:v>0.14285714285714285</c:v>
                </c:pt>
                <c:pt idx="4">
                  <c:v>0.328125</c:v>
                </c:pt>
                <c:pt idx="5">
                  <c:v>0.234375</c:v>
                </c:pt>
              </c:numCache>
            </c:numRef>
          </c:val>
          <c:extLst>
            <c:ext xmlns:c16="http://schemas.microsoft.com/office/drawing/2014/chart" uri="{C3380CC4-5D6E-409C-BE32-E72D297353CC}">
              <c16:uniqueId val="{00000001-FF81-F24D-B2FA-C2B85ACAADDC}"/>
            </c:ext>
          </c:extLst>
        </c:ser>
        <c:ser>
          <c:idx val="2"/>
          <c:order val="2"/>
          <c:tx>
            <c:strRef>
              <c:f>soundness!$AG$87</c:f>
              <c:strCache>
                <c:ptCount val="1"/>
                <c:pt idx="0">
                  <c:v>mistral:nemo</c:v>
                </c:pt>
              </c:strCache>
            </c:strRef>
          </c:tx>
          <c:spPr>
            <a:solidFill>
              <a:schemeClr val="accent3"/>
            </a:solidFill>
            <a:ln>
              <a:noFill/>
            </a:ln>
            <a:effectLst/>
          </c:spPr>
          <c:invertIfNegative val="0"/>
          <c:cat>
            <c:strRef>
              <c:f>soundness!$AH$84:$AM$84</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soundness!$AH$87:$AM$87</c:f>
              <c:numCache>
                <c:formatCode>0.00%</c:formatCode>
                <c:ptCount val="6"/>
                <c:pt idx="0">
                  <c:v>0.58333333333333337</c:v>
                </c:pt>
                <c:pt idx="1">
                  <c:v>0.58333333333333337</c:v>
                </c:pt>
                <c:pt idx="2">
                  <c:v>0.17857142857142858</c:v>
                </c:pt>
                <c:pt idx="3">
                  <c:v>0.17857142857142858</c:v>
                </c:pt>
                <c:pt idx="4">
                  <c:v>0.40625</c:v>
                </c:pt>
                <c:pt idx="5">
                  <c:v>0.40625</c:v>
                </c:pt>
              </c:numCache>
            </c:numRef>
          </c:val>
          <c:extLst>
            <c:ext xmlns:c16="http://schemas.microsoft.com/office/drawing/2014/chart" uri="{C3380CC4-5D6E-409C-BE32-E72D297353CC}">
              <c16:uniqueId val="{00000002-FF81-F24D-B2FA-C2B85ACAADDC}"/>
            </c:ext>
          </c:extLst>
        </c:ser>
        <c:dLbls>
          <c:showLegendKey val="0"/>
          <c:showVal val="0"/>
          <c:showCatName val="0"/>
          <c:showSerName val="0"/>
          <c:showPercent val="0"/>
          <c:showBubbleSize val="0"/>
        </c:dLbls>
        <c:gapWidth val="219"/>
        <c:overlap val="-27"/>
        <c:axId val="1709940096"/>
        <c:axId val="1709470592"/>
      </c:barChart>
      <c:catAx>
        <c:axId val="170994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09470592"/>
        <c:crosses val="autoZero"/>
        <c:auto val="1"/>
        <c:lblAlgn val="ctr"/>
        <c:lblOffset val="100"/>
        <c:noMultiLvlLbl val="0"/>
      </c:catAx>
      <c:valAx>
        <c:axId val="1709470592"/>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0994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soundness!$AG$92</c:f>
              <c:strCache>
                <c:ptCount val="1"/>
                <c:pt idx="0">
                  <c:v>llama3,1:70B</c:v>
                </c:pt>
              </c:strCache>
            </c:strRef>
          </c:tx>
          <c:spPr>
            <a:solidFill>
              <a:schemeClr val="accent1"/>
            </a:solidFill>
            <a:ln>
              <a:noFill/>
            </a:ln>
            <a:effectLst/>
          </c:spPr>
          <c:invertIfNegative val="0"/>
          <c:cat>
            <c:strRef>
              <c:f>soundness!$AH$91:$AM$91</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soundness!$AH$92:$AM$92</c:f>
              <c:numCache>
                <c:formatCode>0.00%</c:formatCode>
                <c:ptCount val="6"/>
                <c:pt idx="0">
                  <c:v>0.1388888888888889</c:v>
                </c:pt>
                <c:pt idx="1">
                  <c:v>0</c:v>
                </c:pt>
                <c:pt idx="2">
                  <c:v>3.5714285714285712E-2</c:v>
                </c:pt>
                <c:pt idx="3">
                  <c:v>0</c:v>
                </c:pt>
                <c:pt idx="4">
                  <c:v>9.375E-2</c:v>
                </c:pt>
                <c:pt idx="5">
                  <c:v>0</c:v>
                </c:pt>
              </c:numCache>
            </c:numRef>
          </c:val>
          <c:extLst>
            <c:ext xmlns:c16="http://schemas.microsoft.com/office/drawing/2014/chart" uri="{C3380CC4-5D6E-409C-BE32-E72D297353CC}">
              <c16:uniqueId val="{00000000-30B6-604C-B21D-139B339A5C2E}"/>
            </c:ext>
          </c:extLst>
        </c:ser>
        <c:ser>
          <c:idx val="1"/>
          <c:order val="1"/>
          <c:tx>
            <c:strRef>
              <c:f>soundness!$AG$93</c:f>
              <c:strCache>
                <c:ptCount val="1"/>
                <c:pt idx="0">
                  <c:v>qwen3 14B</c:v>
                </c:pt>
              </c:strCache>
            </c:strRef>
          </c:tx>
          <c:spPr>
            <a:solidFill>
              <a:schemeClr val="accent2"/>
            </a:solidFill>
            <a:ln>
              <a:noFill/>
            </a:ln>
            <a:effectLst/>
          </c:spPr>
          <c:invertIfNegative val="0"/>
          <c:cat>
            <c:strRef>
              <c:f>soundness!$AH$91:$AM$91</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soundness!$AH$93:$AM$93</c:f>
              <c:numCache>
                <c:formatCode>0.00%</c:formatCode>
                <c:ptCount val="6"/>
                <c:pt idx="0">
                  <c:v>0.58333333333333337</c:v>
                </c:pt>
                <c:pt idx="1">
                  <c:v>0.16666666666666666</c:v>
                </c:pt>
                <c:pt idx="2">
                  <c:v>0.14285714285714285</c:v>
                </c:pt>
                <c:pt idx="3">
                  <c:v>0.14285714285714285</c:v>
                </c:pt>
                <c:pt idx="4">
                  <c:v>0.390625</c:v>
                </c:pt>
                <c:pt idx="5">
                  <c:v>0.15625</c:v>
                </c:pt>
              </c:numCache>
            </c:numRef>
          </c:val>
          <c:extLst>
            <c:ext xmlns:c16="http://schemas.microsoft.com/office/drawing/2014/chart" uri="{C3380CC4-5D6E-409C-BE32-E72D297353CC}">
              <c16:uniqueId val="{00000001-30B6-604C-B21D-139B339A5C2E}"/>
            </c:ext>
          </c:extLst>
        </c:ser>
        <c:ser>
          <c:idx val="2"/>
          <c:order val="2"/>
          <c:tx>
            <c:strRef>
              <c:f>soundness!$AG$94</c:f>
              <c:strCache>
                <c:ptCount val="1"/>
                <c:pt idx="0">
                  <c:v>mistral:nemo</c:v>
                </c:pt>
              </c:strCache>
            </c:strRef>
          </c:tx>
          <c:spPr>
            <a:solidFill>
              <a:schemeClr val="accent3"/>
            </a:solidFill>
            <a:ln>
              <a:noFill/>
            </a:ln>
            <a:effectLst/>
          </c:spPr>
          <c:invertIfNegative val="0"/>
          <c:cat>
            <c:strRef>
              <c:f>soundness!$AH$91:$AM$91</c:f>
              <c:strCache>
                <c:ptCount val="6"/>
                <c:pt idx="0">
                  <c:v>Unsound test R, TestG</c:v>
                </c:pt>
                <c:pt idx="1">
                  <c:v>Unsound test R, TestG (fail only)</c:v>
                </c:pt>
                <c:pt idx="2">
                  <c:v>Unsound test R, TestA</c:v>
                </c:pt>
                <c:pt idx="3">
                  <c:v>Unsound test R, TestA (fail only)</c:v>
                </c:pt>
                <c:pt idx="4">
                  <c:v>Unsound test R,</c:v>
                </c:pt>
                <c:pt idx="5">
                  <c:v>Unsound test R, (fail only)</c:v>
                </c:pt>
              </c:strCache>
            </c:strRef>
          </c:cat>
          <c:val>
            <c:numRef>
              <c:f>soundness!$AH$94:$AM$94</c:f>
              <c:numCache>
                <c:formatCode>0.00%</c:formatCode>
                <c:ptCount val="6"/>
                <c:pt idx="0">
                  <c:v>0.58333333333333337</c:v>
                </c:pt>
                <c:pt idx="1">
                  <c:v>0.47222222222222221</c:v>
                </c:pt>
                <c:pt idx="2">
                  <c:v>0.21428571428571427</c:v>
                </c:pt>
                <c:pt idx="3">
                  <c:v>0.21428571428571427</c:v>
                </c:pt>
                <c:pt idx="4">
                  <c:v>0.421875</c:v>
                </c:pt>
                <c:pt idx="5">
                  <c:v>0.359375</c:v>
                </c:pt>
              </c:numCache>
            </c:numRef>
          </c:val>
          <c:extLst>
            <c:ext xmlns:c16="http://schemas.microsoft.com/office/drawing/2014/chart" uri="{C3380CC4-5D6E-409C-BE32-E72D297353CC}">
              <c16:uniqueId val="{00000002-30B6-604C-B21D-139B339A5C2E}"/>
            </c:ext>
          </c:extLst>
        </c:ser>
        <c:dLbls>
          <c:showLegendKey val="0"/>
          <c:showVal val="0"/>
          <c:showCatName val="0"/>
          <c:showSerName val="0"/>
          <c:showPercent val="0"/>
          <c:showBubbleSize val="0"/>
        </c:dLbls>
        <c:gapWidth val="219"/>
        <c:overlap val="-27"/>
        <c:axId val="75130191"/>
        <c:axId val="75332671"/>
      </c:barChart>
      <c:catAx>
        <c:axId val="7513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332671"/>
        <c:crosses val="autoZero"/>
        <c:auto val="1"/>
        <c:lblAlgn val="ctr"/>
        <c:lblOffset val="100"/>
        <c:noMultiLvlLbl val="0"/>
      </c:catAx>
      <c:valAx>
        <c:axId val="75332671"/>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130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laxness!$V$62</c:f>
              <c:strCache>
                <c:ptCount val="1"/>
                <c:pt idx="0">
                  <c:v>llama3,1:70B</c:v>
                </c:pt>
              </c:strCache>
            </c:strRef>
          </c:tx>
          <c:spPr>
            <a:solidFill>
              <a:schemeClr val="accent1"/>
            </a:solidFill>
            <a:ln>
              <a:noFill/>
            </a:ln>
            <a:effectLst/>
          </c:spPr>
          <c:invertIfNegative val="0"/>
          <c:cat>
            <c:strRef>
              <c:f>laxness!$W$61:$AB$61</c:f>
              <c:strCache>
                <c:ptCount val="6"/>
                <c:pt idx="0">
                  <c:v>Lax test R, SimpleNLTestRunner testG-lax</c:v>
                </c:pt>
                <c:pt idx="1">
                  <c:v>Lax test R, SimpleNLTestRunner testA-lax</c:v>
                </c:pt>
                <c:pt idx="2">
                  <c:v>Lax test R, NLTestRunner, testG-lax</c:v>
                </c:pt>
                <c:pt idx="3">
                  <c:v>Lax test R, NLTestRunner, testA-lax</c:v>
                </c:pt>
                <c:pt idx="4">
                  <c:v>Total SimpleNLTestRunner</c:v>
                </c:pt>
                <c:pt idx="5">
                  <c:v>Total NLTestRunner</c:v>
                </c:pt>
              </c:strCache>
            </c:strRef>
          </c:cat>
          <c:val>
            <c:numRef>
              <c:f>laxness!$W$62:$AB$62</c:f>
              <c:numCache>
                <c:formatCode>0.00%</c:formatCode>
                <c:ptCount val="6"/>
                <c:pt idx="0">
                  <c:v>0.66666666666666663</c:v>
                </c:pt>
                <c:pt idx="1">
                  <c:v>0.14285714285714285</c:v>
                </c:pt>
                <c:pt idx="2">
                  <c:v>0</c:v>
                </c:pt>
                <c:pt idx="3">
                  <c:v>0.14285714285714285</c:v>
                </c:pt>
                <c:pt idx="4">
                  <c:v>0.32558139534883723</c:v>
                </c:pt>
                <c:pt idx="5">
                  <c:v>9.3023255813953487E-2</c:v>
                </c:pt>
              </c:numCache>
            </c:numRef>
          </c:val>
          <c:extLst>
            <c:ext xmlns:c16="http://schemas.microsoft.com/office/drawing/2014/chart" uri="{C3380CC4-5D6E-409C-BE32-E72D297353CC}">
              <c16:uniqueId val="{00000000-C017-D746-A20B-2E442F17D06E}"/>
            </c:ext>
          </c:extLst>
        </c:ser>
        <c:ser>
          <c:idx val="1"/>
          <c:order val="1"/>
          <c:tx>
            <c:strRef>
              <c:f>laxness!$V$63</c:f>
              <c:strCache>
                <c:ptCount val="1"/>
                <c:pt idx="0">
                  <c:v>qwen3 14B</c:v>
                </c:pt>
              </c:strCache>
            </c:strRef>
          </c:tx>
          <c:spPr>
            <a:solidFill>
              <a:schemeClr val="accent2"/>
            </a:solidFill>
            <a:ln>
              <a:noFill/>
            </a:ln>
            <a:effectLst/>
          </c:spPr>
          <c:invertIfNegative val="0"/>
          <c:cat>
            <c:strRef>
              <c:f>laxness!$W$61:$AB$61</c:f>
              <c:strCache>
                <c:ptCount val="6"/>
                <c:pt idx="0">
                  <c:v>Lax test R, SimpleNLTestRunner testG-lax</c:v>
                </c:pt>
                <c:pt idx="1">
                  <c:v>Lax test R, SimpleNLTestRunner testA-lax</c:v>
                </c:pt>
                <c:pt idx="2">
                  <c:v>Lax test R, NLTestRunner, testG-lax</c:v>
                </c:pt>
                <c:pt idx="3">
                  <c:v>Lax test R, NLTestRunner, testA-lax</c:v>
                </c:pt>
                <c:pt idx="4">
                  <c:v>Total SimpleNLTestRunner</c:v>
                </c:pt>
                <c:pt idx="5">
                  <c:v>Total NLTestRunner</c:v>
                </c:pt>
              </c:strCache>
            </c:strRef>
          </c:cat>
          <c:val>
            <c:numRef>
              <c:f>laxness!$W$63:$AB$63</c:f>
              <c:numCache>
                <c:formatCode>0.00%</c:formatCode>
                <c:ptCount val="6"/>
                <c:pt idx="0">
                  <c:v>0.4</c:v>
                </c:pt>
                <c:pt idx="1">
                  <c:v>0.10714285714285714</c:v>
                </c:pt>
                <c:pt idx="2">
                  <c:v>0</c:v>
                </c:pt>
                <c:pt idx="3">
                  <c:v>7.1428571428571425E-2</c:v>
                </c:pt>
                <c:pt idx="4">
                  <c:v>0.20930232558139536</c:v>
                </c:pt>
                <c:pt idx="5">
                  <c:v>4.6511627906976744E-2</c:v>
                </c:pt>
              </c:numCache>
            </c:numRef>
          </c:val>
          <c:extLst>
            <c:ext xmlns:c16="http://schemas.microsoft.com/office/drawing/2014/chart" uri="{C3380CC4-5D6E-409C-BE32-E72D297353CC}">
              <c16:uniqueId val="{00000001-C017-D746-A20B-2E442F17D06E}"/>
            </c:ext>
          </c:extLst>
        </c:ser>
        <c:ser>
          <c:idx val="2"/>
          <c:order val="2"/>
          <c:tx>
            <c:strRef>
              <c:f>laxness!$V$64</c:f>
              <c:strCache>
                <c:ptCount val="1"/>
                <c:pt idx="0">
                  <c:v>mistral:nemo</c:v>
                </c:pt>
              </c:strCache>
            </c:strRef>
          </c:tx>
          <c:spPr>
            <a:solidFill>
              <a:schemeClr val="accent3"/>
            </a:solidFill>
            <a:ln>
              <a:noFill/>
            </a:ln>
            <a:effectLst/>
          </c:spPr>
          <c:invertIfNegative val="0"/>
          <c:cat>
            <c:strRef>
              <c:f>laxness!$W$61:$AB$61</c:f>
              <c:strCache>
                <c:ptCount val="6"/>
                <c:pt idx="0">
                  <c:v>Lax test R, SimpleNLTestRunner testG-lax</c:v>
                </c:pt>
                <c:pt idx="1">
                  <c:v>Lax test R, SimpleNLTestRunner testA-lax</c:v>
                </c:pt>
                <c:pt idx="2">
                  <c:v>Lax test R, NLTestRunner, testG-lax</c:v>
                </c:pt>
                <c:pt idx="3">
                  <c:v>Lax test R, NLTestRunner, testA-lax</c:v>
                </c:pt>
                <c:pt idx="4">
                  <c:v>Total SimpleNLTestRunner</c:v>
                </c:pt>
                <c:pt idx="5">
                  <c:v>Total NLTestRunner</c:v>
                </c:pt>
              </c:strCache>
            </c:strRef>
          </c:cat>
          <c:val>
            <c:numRef>
              <c:f>laxness!$W$64:$AB$64</c:f>
              <c:numCache>
                <c:formatCode>0.00%</c:formatCode>
                <c:ptCount val="6"/>
                <c:pt idx="0">
                  <c:v>0.46666666666666667</c:v>
                </c:pt>
                <c:pt idx="1">
                  <c:v>0.42857142857142855</c:v>
                </c:pt>
                <c:pt idx="2">
                  <c:v>0</c:v>
                </c:pt>
                <c:pt idx="3">
                  <c:v>0.42857142857142855</c:v>
                </c:pt>
                <c:pt idx="4">
                  <c:v>0.44186046511627908</c:v>
                </c:pt>
                <c:pt idx="5">
                  <c:v>0.27906976744186046</c:v>
                </c:pt>
              </c:numCache>
            </c:numRef>
          </c:val>
          <c:extLst>
            <c:ext xmlns:c16="http://schemas.microsoft.com/office/drawing/2014/chart" uri="{C3380CC4-5D6E-409C-BE32-E72D297353CC}">
              <c16:uniqueId val="{00000002-C017-D746-A20B-2E442F17D06E}"/>
            </c:ext>
          </c:extLst>
        </c:ser>
        <c:dLbls>
          <c:showLegendKey val="0"/>
          <c:showVal val="0"/>
          <c:showCatName val="0"/>
          <c:showSerName val="0"/>
          <c:showPercent val="0"/>
          <c:showBubbleSize val="0"/>
        </c:dLbls>
        <c:gapWidth val="219"/>
        <c:overlap val="-27"/>
        <c:axId val="1870847792"/>
        <c:axId val="1870787312"/>
      </c:barChart>
      <c:catAx>
        <c:axId val="187084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0787312"/>
        <c:crosses val="autoZero"/>
        <c:auto val="1"/>
        <c:lblAlgn val="ctr"/>
        <c:lblOffset val="100"/>
        <c:noMultiLvlLbl val="0"/>
      </c:catAx>
      <c:valAx>
        <c:axId val="1870787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084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laxness!$B$69</c:f>
              <c:strCache>
                <c:ptCount val="1"/>
                <c:pt idx="0">
                  <c:v>PER SimpleNLTestRunner </c:v>
                </c:pt>
              </c:strCache>
            </c:strRef>
          </c:tx>
          <c:spPr>
            <a:solidFill>
              <a:schemeClr val="accent1"/>
            </a:solidFill>
            <a:ln>
              <a:noFill/>
            </a:ln>
            <a:effectLst/>
          </c:spPr>
          <c:invertIfNegative val="0"/>
          <c:cat>
            <c:strRef>
              <c:f>laxness!$A$70:$A$72</c:f>
              <c:strCache>
                <c:ptCount val="3"/>
                <c:pt idx="0">
                  <c:v>testG-lax</c:v>
                </c:pt>
                <c:pt idx="1">
                  <c:v>testA-lax</c:v>
                </c:pt>
                <c:pt idx="2">
                  <c:v>Mean</c:v>
                </c:pt>
              </c:strCache>
            </c:strRef>
          </c:cat>
          <c:val>
            <c:numRef>
              <c:f>laxness!$B$70:$B$72</c:f>
              <c:numCache>
                <c:formatCode>0.00%</c:formatCode>
                <c:ptCount val="3"/>
                <c:pt idx="0">
                  <c:v>0.56666666666666665</c:v>
                </c:pt>
                <c:pt idx="1">
                  <c:v>9.8214285714285712E-2</c:v>
                </c:pt>
                <c:pt idx="2">
                  <c:v>0.31395348837209303</c:v>
                </c:pt>
              </c:numCache>
            </c:numRef>
          </c:val>
          <c:extLst>
            <c:ext xmlns:c16="http://schemas.microsoft.com/office/drawing/2014/chart" uri="{C3380CC4-5D6E-409C-BE32-E72D297353CC}">
              <c16:uniqueId val="{00000000-716D-A048-97B3-D24A4826B044}"/>
            </c:ext>
          </c:extLst>
        </c:ser>
        <c:ser>
          <c:idx val="1"/>
          <c:order val="1"/>
          <c:tx>
            <c:strRef>
              <c:f>laxness!$C$69</c:f>
              <c:strCache>
                <c:ptCount val="1"/>
                <c:pt idx="0">
                  <c:v>PER NLTestRunner</c:v>
                </c:pt>
              </c:strCache>
            </c:strRef>
          </c:tx>
          <c:spPr>
            <a:solidFill>
              <a:schemeClr val="accent2"/>
            </a:solidFill>
            <a:ln>
              <a:noFill/>
            </a:ln>
            <a:effectLst/>
          </c:spPr>
          <c:invertIfNegative val="0"/>
          <c:cat>
            <c:strRef>
              <c:f>laxness!$A$70:$A$72</c:f>
              <c:strCache>
                <c:ptCount val="3"/>
                <c:pt idx="0">
                  <c:v>testG-lax</c:v>
                </c:pt>
                <c:pt idx="1">
                  <c:v>testA-lax</c:v>
                </c:pt>
                <c:pt idx="2">
                  <c:v>Mean</c:v>
                </c:pt>
              </c:strCache>
            </c:strRef>
          </c:cat>
          <c:val>
            <c:numRef>
              <c:f>laxness!$C$70:$C$72</c:f>
              <c:numCache>
                <c:formatCode>0.00%</c:formatCode>
                <c:ptCount val="3"/>
                <c:pt idx="0">
                  <c:v>0</c:v>
                </c:pt>
                <c:pt idx="1">
                  <c:v>5.7142857142857141E-2</c:v>
                </c:pt>
                <c:pt idx="2">
                  <c:v>3.7209302325581395E-2</c:v>
                </c:pt>
              </c:numCache>
            </c:numRef>
          </c:val>
          <c:extLst>
            <c:ext xmlns:c16="http://schemas.microsoft.com/office/drawing/2014/chart" uri="{C3380CC4-5D6E-409C-BE32-E72D297353CC}">
              <c16:uniqueId val="{00000001-716D-A048-97B3-D24A4826B044}"/>
            </c:ext>
          </c:extLst>
        </c:ser>
        <c:dLbls>
          <c:showLegendKey val="0"/>
          <c:showVal val="0"/>
          <c:showCatName val="0"/>
          <c:showSerName val="0"/>
          <c:showPercent val="0"/>
          <c:showBubbleSize val="0"/>
        </c:dLbls>
        <c:gapWidth val="219"/>
        <c:overlap val="-27"/>
        <c:axId val="1154640864"/>
        <c:axId val="1154642576"/>
      </c:barChart>
      <c:catAx>
        <c:axId val="11546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4642576"/>
        <c:crosses val="autoZero"/>
        <c:auto val="1"/>
        <c:lblAlgn val="ctr"/>
        <c:lblOffset val="100"/>
        <c:noMultiLvlLbl val="0"/>
      </c:catAx>
      <c:valAx>
        <c:axId val="1154642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4640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laxness!$H$69</c:f>
              <c:strCache>
                <c:ptCount val="1"/>
                <c:pt idx="0">
                  <c:v>PER SimpleNLTestRunner </c:v>
                </c:pt>
              </c:strCache>
            </c:strRef>
          </c:tx>
          <c:spPr>
            <a:solidFill>
              <a:schemeClr val="accent1"/>
            </a:solidFill>
            <a:ln>
              <a:noFill/>
            </a:ln>
            <a:effectLst/>
          </c:spPr>
          <c:invertIfNegative val="0"/>
          <c:cat>
            <c:strRef>
              <c:f>laxness!$G$70:$G$72</c:f>
              <c:strCache>
                <c:ptCount val="3"/>
                <c:pt idx="0">
                  <c:v>testG-lax</c:v>
                </c:pt>
                <c:pt idx="1">
                  <c:v>testA-lax</c:v>
                </c:pt>
                <c:pt idx="2">
                  <c:v>Mean</c:v>
                </c:pt>
              </c:strCache>
            </c:strRef>
          </c:cat>
          <c:val>
            <c:numRef>
              <c:f>laxness!$H$70:$H$72</c:f>
              <c:numCache>
                <c:formatCode>0.00%</c:formatCode>
                <c:ptCount val="3"/>
                <c:pt idx="0">
                  <c:v>0.39333333333333331</c:v>
                </c:pt>
                <c:pt idx="1">
                  <c:v>4.1071428571428571E-2</c:v>
                </c:pt>
                <c:pt idx="2">
                  <c:v>0.16395348837209303</c:v>
                </c:pt>
              </c:numCache>
            </c:numRef>
          </c:val>
          <c:extLst>
            <c:ext xmlns:c16="http://schemas.microsoft.com/office/drawing/2014/chart" uri="{C3380CC4-5D6E-409C-BE32-E72D297353CC}">
              <c16:uniqueId val="{00000000-1EF5-0842-85C3-F0CCA342BAF5}"/>
            </c:ext>
          </c:extLst>
        </c:ser>
        <c:ser>
          <c:idx val="1"/>
          <c:order val="1"/>
          <c:tx>
            <c:strRef>
              <c:f>laxness!$I$69</c:f>
              <c:strCache>
                <c:ptCount val="1"/>
                <c:pt idx="0">
                  <c:v>PER NLTestRunner</c:v>
                </c:pt>
              </c:strCache>
            </c:strRef>
          </c:tx>
          <c:spPr>
            <a:solidFill>
              <a:schemeClr val="accent2"/>
            </a:solidFill>
            <a:ln>
              <a:noFill/>
            </a:ln>
            <a:effectLst/>
          </c:spPr>
          <c:invertIfNegative val="0"/>
          <c:cat>
            <c:strRef>
              <c:f>laxness!$G$70:$G$72</c:f>
              <c:strCache>
                <c:ptCount val="3"/>
                <c:pt idx="0">
                  <c:v>testG-lax</c:v>
                </c:pt>
                <c:pt idx="1">
                  <c:v>testA-lax</c:v>
                </c:pt>
                <c:pt idx="2">
                  <c:v>Mean</c:v>
                </c:pt>
              </c:strCache>
            </c:strRef>
          </c:cat>
          <c:val>
            <c:numRef>
              <c:f>laxness!$I$70:$I$72</c:f>
              <c:numCache>
                <c:formatCode>0.00%</c:formatCode>
                <c:ptCount val="3"/>
                <c:pt idx="0">
                  <c:v>0</c:v>
                </c:pt>
                <c:pt idx="1">
                  <c:v>3.5714285714285712E-2</c:v>
                </c:pt>
                <c:pt idx="2">
                  <c:v>2.3255813953488372E-2</c:v>
                </c:pt>
              </c:numCache>
            </c:numRef>
          </c:val>
          <c:extLst>
            <c:ext xmlns:c16="http://schemas.microsoft.com/office/drawing/2014/chart" uri="{C3380CC4-5D6E-409C-BE32-E72D297353CC}">
              <c16:uniqueId val="{00000001-1EF5-0842-85C3-F0CCA342BAF5}"/>
            </c:ext>
          </c:extLst>
        </c:ser>
        <c:dLbls>
          <c:showLegendKey val="0"/>
          <c:showVal val="0"/>
          <c:showCatName val="0"/>
          <c:showSerName val="0"/>
          <c:showPercent val="0"/>
          <c:showBubbleSize val="0"/>
        </c:dLbls>
        <c:gapWidth val="219"/>
        <c:overlap val="-27"/>
        <c:axId val="1242523183"/>
        <c:axId val="1242031295"/>
      </c:barChart>
      <c:catAx>
        <c:axId val="124252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42031295"/>
        <c:crosses val="autoZero"/>
        <c:auto val="1"/>
        <c:lblAlgn val="ctr"/>
        <c:lblOffset val="100"/>
        <c:noMultiLvlLbl val="0"/>
      </c:catAx>
      <c:valAx>
        <c:axId val="1242031295"/>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42523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laxness!$P$69</c:f>
              <c:strCache>
                <c:ptCount val="1"/>
                <c:pt idx="0">
                  <c:v>PER SimpleNLTestRunner </c:v>
                </c:pt>
              </c:strCache>
            </c:strRef>
          </c:tx>
          <c:spPr>
            <a:solidFill>
              <a:schemeClr val="accent1"/>
            </a:solidFill>
            <a:ln>
              <a:noFill/>
            </a:ln>
            <a:effectLst/>
          </c:spPr>
          <c:invertIfNegative val="0"/>
          <c:cat>
            <c:strRef>
              <c:f>laxness!$O$70:$O$72</c:f>
              <c:strCache>
                <c:ptCount val="3"/>
                <c:pt idx="0">
                  <c:v>testG-lax</c:v>
                </c:pt>
                <c:pt idx="1">
                  <c:v>testA-lax</c:v>
                </c:pt>
                <c:pt idx="2">
                  <c:v>Mean</c:v>
                </c:pt>
              </c:strCache>
            </c:strRef>
          </c:cat>
          <c:val>
            <c:numRef>
              <c:f>laxness!$P$70:$P$72</c:f>
              <c:numCache>
                <c:formatCode>0.00%</c:formatCode>
                <c:ptCount val="3"/>
                <c:pt idx="0">
                  <c:v>0.32</c:v>
                </c:pt>
                <c:pt idx="1">
                  <c:v>0.39464285714285713</c:v>
                </c:pt>
                <c:pt idx="2">
                  <c:v>0.36860465116279068</c:v>
                </c:pt>
              </c:numCache>
            </c:numRef>
          </c:val>
          <c:extLst>
            <c:ext xmlns:c16="http://schemas.microsoft.com/office/drawing/2014/chart" uri="{C3380CC4-5D6E-409C-BE32-E72D297353CC}">
              <c16:uniqueId val="{00000000-57A2-E047-BB1A-F9A4240D84D0}"/>
            </c:ext>
          </c:extLst>
        </c:ser>
        <c:ser>
          <c:idx val="1"/>
          <c:order val="1"/>
          <c:tx>
            <c:strRef>
              <c:f>laxness!$Q$69</c:f>
              <c:strCache>
                <c:ptCount val="1"/>
                <c:pt idx="0">
                  <c:v>PER NLTestRunner</c:v>
                </c:pt>
              </c:strCache>
            </c:strRef>
          </c:tx>
          <c:spPr>
            <a:solidFill>
              <a:schemeClr val="accent2"/>
            </a:solidFill>
            <a:ln>
              <a:noFill/>
            </a:ln>
            <a:effectLst/>
          </c:spPr>
          <c:invertIfNegative val="0"/>
          <c:cat>
            <c:strRef>
              <c:f>laxness!$O$70:$O$72</c:f>
              <c:strCache>
                <c:ptCount val="3"/>
                <c:pt idx="0">
                  <c:v>testG-lax</c:v>
                </c:pt>
                <c:pt idx="1">
                  <c:v>testA-lax</c:v>
                </c:pt>
                <c:pt idx="2">
                  <c:v>Mean</c:v>
                </c:pt>
              </c:strCache>
            </c:strRef>
          </c:cat>
          <c:val>
            <c:numRef>
              <c:f>laxness!$Q$70:$Q$72</c:f>
              <c:numCache>
                <c:formatCode>0.00%</c:formatCode>
                <c:ptCount val="3"/>
                <c:pt idx="0">
                  <c:v>0</c:v>
                </c:pt>
                <c:pt idx="1">
                  <c:v>0.36428571428571427</c:v>
                </c:pt>
                <c:pt idx="2">
                  <c:v>0.23720930232558141</c:v>
                </c:pt>
              </c:numCache>
            </c:numRef>
          </c:val>
          <c:extLst>
            <c:ext xmlns:c16="http://schemas.microsoft.com/office/drawing/2014/chart" uri="{C3380CC4-5D6E-409C-BE32-E72D297353CC}">
              <c16:uniqueId val="{00000001-57A2-E047-BB1A-F9A4240D84D0}"/>
            </c:ext>
          </c:extLst>
        </c:ser>
        <c:dLbls>
          <c:showLegendKey val="0"/>
          <c:showVal val="0"/>
          <c:showCatName val="0"/>
          <c:showSerName val="0"/>
          <c:showPercent val="0"/>
          <c:showBubbleSize val="0"/>
        </c:dLbls>
        <c:gapWidth val="219"/>
        <c:overlap val="-27"/>
        <c:axId val="1154521856"/>
        <c:axId val="1233143184"/>
      </c:barChart>
      <c:catAx>
        <c:axId val="11545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33143184"/>
        <c:crosses val="autoZero"/>
        <c:auto val="1"/>
        <c:lblAlgn val="ctr"/>
        <c:lblOffset val="100"/>
        <c:noMultiLvlLbl val="0"/>
      </c:catAx>
      <c:valAx>
        <c:axId val="1233143184"/>
        <c:scaling>
          <c:orientation val="minMax"/>
          <c:max val="0.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452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plotArea>
      <cx:plotAreaRegion>
        <cx:series layoutId="boxWhisker" uniqueId="{49DFEC29-F85A-EE43-BC11-A6F40EEBFFC0}">
          <cx:tx>
            <cx:txData>
              <cx:f>_xlchart.v1.0</cx:f>
              <cx:v>Agent readiness</cx:v>
            </cx:txData>
          </cx:tx>
          <cx:dataId val="0"/>
          <cx:layoutPr>
            <cx:visibility meanLine="1" meanMarker="1" nonoutliers="1" outliers="1"/>
            <cx:statistics quartileMethod="exclusive"/>
          </cx:layoutPr>
        </cx:series>
        <cx:series layoutId="boxWhisker" uniqueId="{F0B36B9E-051C-A048-B877-6208F41D1C09}">
          <cx:tx>
            <cx:txData>
              <cx:f>_xlchart.v1.2</cx:f>
              <cx:v>Agent nav</cx:v>
            </cx:txData>
          </cx:tx>
          <cx:dataId val="1"/>
          <cx:layoutPr>
            <cx:visibility meanLine="1" meanMarker="1" nonoutliers="1" outliers="1"/>
            <cx:statistics quartileMethod="exclusive"/>
          </cx:layoutPr>
        </cx:series>
        <cx:series layoutId="boxWhisker" uniqueId="{A32F4D24-4EE7-864B-A5BB-3CEB94A2613E}">
          <cx:tx>
            <cx:txData>
              <cx:f>_xlchart.v1.4</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data id="2">
      <cx:numDim type="val">
        <cx:f>_xlchart.v1.11</cx:f>
      </cx:numDim>
    </cx:data>
  </cx:chartData>
  <cx:chart>
    <cx:plotArea>
      <cx:plotAreaRegion>
        <cx:series layoutId="boxWhisker" uniqueId="{214D4568-8A96-BA4C-8286-2728D7F576B8}">
          <cx:tx>
            <cx:txData>
              <cx:f>_xlchart.v1.6</cx:f>
              <cx:v>Agent readiness</cx:v>
            </cx:txData>
          </cx:tx>
          <cx:dataId val="0"/>
          <cx:layoutPr>
            <cx:visibility meanLine="1" meanMarker="1" nonoutliers="1" outliers="1"/>
            <cx:statistics quartileMethod="exclusive"/>
          </cx:layoutPr>
        </cx:series>
        <cx:series layoutId="boxWhisker" uniqueId="{D3908902-0016-764E-8554-EBD99460DEB3}">
          <cx:tx>
            <cx:txData>
              <cx:f>_xlchart.v1.8</cx:f>
              <cx:v>Agent nav</cx:v>
            </cx:txData>
          </cx:tx>
          <cx:dataId val="1"/>
          <cx:layoutPr>
            <cx:visibility meanLine="1" meanMarker="1" nonoutliers="1" outliers="1"/>
            <cx:statistics quartileMethod="exclusive"/>
          </cx:layoutPr>
        </cx:series>
        <cx:series layoutId="boxWhisker" uniqueId="{DBF6F50D-0AA2-F545-B8D8-DED11F5E60C9}">
          <cx:tx>
            <cx:txData>
              <cx:f>_xlchart.v1.10</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chartData>
  <cx:chart>
    <cx:plotArea>
      <cx:plotAreaRegion>
        <cx:series layoutId="boxWhisker" uniqueId="{A712C944-580D-D149-A1C6-2C8B7070BCE5}">
          <cx:tx>
            <cx:txData>
              <cx:f>_xlchart.v1.12</cx:f>
              <cx:v>Readiness</cx:v>
            </cx:txData>
          </cx:tx>
          <cx:dataId val="0"/>
          <cx:layoutPr>
            <cx:visibility meanLine="1" meanMarker="1" nonoutliers="1" outliers="1"/>
            <cx:statistics quartileMethod="exclusive"/>
          </cx:layoutPr>
        </cx:series>
        <cx:series layoutId="boxWhisker" uniqueId="{56342AEC-AD4B-EF45-86A0-9E585F46219D}">
          <cx:tx>
            <cx:txData>
              <cx:f>_xlchart.v1.14</cx:f>
              <cx:v>Assertion</cx:v>
            </cx:txData>
          </cx:tx>
          <cx:spPr>
            <a:ln>
              <a:solidFill>
                <a:schemeClr val="accent3"/>
              </a:solidFill>
            </a:ln>
          </cx:spPr>
          <cx:dataId val="1"/>
          <cx:layoutPr>
            <cx:visibility meanLine="1" meanMarker="1" nonoutliers="0"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data id="1">
      <cx:numDim type="val">
        <cx:f>_xlchart.v1.19</cx:f>
      </cx:numDim>
    </cx:data>
    <cx:data id="2">
      <cx:numDim type="val">
        <cx:f>_xlchart.v1.21</cx:f>
      </cx:numDim>
    </cx:data>
  </cx:chartData>
  <cx:chart>
    <cx:plotArea>
      <cx:plotAreaRegion>
        <cx:series layoutId="boxWhisker" uniqueId="{FC13D3F7-BCD0-C44B-BF50-253272C3E0C4}">
          <cx:tx>
            <cx:txData>
              <cx:f>_xlchart.v1.16</cx:f>
              <cx:v>Readiness</cx:v>
            </cx:txData>
          </cx:tx>
          <cx:dataId val="0"/>
          <cx:layoutPr>
            <cx:visibility meanLine="1" meanMarker="1" nonoutliers="1" outliers="1"/>
            <cx:statistics quartileMethod="exclusive"/>
          </cx:layoutPr>
        </cx:series>
        <cx:series layoutId="boxWhisker" uniqueId="{2520C130-4989-1147-9DCD-28281AEB1479}">
          <cx:tx>
            <cx:txData>
              <cx:f>_xlchart.v1.18</cx:f>
              <cx:v>Navigation</cx:v>
            </cx:txData>
          </cx:tx>
          <cx:dataId val="1"/>
          <cx:layoutPr>
            <cx:visibility meanLine="1" meanMarker="1" nonoutliers="1" outliers="1"/>
            <cx:statistics quartileMethod="exclusive"/>
          </cx:layoutPr>
        </cx:series>
        <cx:series layoutId="boxWhisker" uniqueId="{CFF5A326-E113-E341-9317-9B3220ACFCDB}">
          <cx:tx>
            <cx:txData>
              <cx:f>_xlchart.v1.20</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data id="1">
      <cx:numDim type="val">
        <cx:f>_xlchart.v1.25</cx:f>
      </cx:numDim>
    </cx:data>
    <cx:data id="2">
      <cx:numDim type="val">
        <cx:f>_xlchart.v1.27</cx:f>
      </cx:numDim>
    </cx:data>
  </cx:chartData>
  <cx:chart>
    <cx:plotArea>
      <cx:plotAreaRegion>
        <cx:series layoutId="boxWhisker" uniqueId="{EA483BA9-6061-2943-A543-581C5EC2CCD8}">
          <cx:tx>
            <cx:txData>
              <cx:f>_xlchart.v1.22</cx:f>
              <cx:v>Readiness</cx:v>
            </cx:txData>
          </cx:tx>
          <cx:dataId val="0"/>
          <cx:layoutPr>
            <cx:visibility meanLine="1" meanMarker="1" nonoutliers="1" outliers="1"/>
            <cx:statistics quartileMethod="exclusive"/>
          </cx:layoutPr>
        </cx:series>
        <cx:series layoutId="boxWhisker" uniqueId="{A9EA80A4-8E60-A949-84B1-7D3CF356CE8E}">
          <cx:tx>
            <cx:txData>
              <cx:f>_xlchart.v1.24</cx:f>
              <cx:v>Navigation</cx:v>
            </cx:txData>
          </cx:tx>
          <cx:dataId val="1"/>
          <cx:layoutPr>
            <cx:visibility meanLine="1" meanMarker="1" nonoutliers="1" outliers="1"/>
            <cx:statistics quartileMethod="exclusive"/>
          </cx:layoutPr>
        </cx:series>
        <cx:series layoutId="boxWhisker" uniqueId="{4CDE16AE-B232-1741-9588-811B5F552441}">
          <cx:tx>
            <cx:txData>
              <cx:f>_xlchart.v1.26</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_xlchart.v1.35</cx:f>
      </cx:numDim>
    </cx:data>
    <cx:data id="1">
      <cx:numDim type="val">
        <cx:f>_xlchart.v1.37</cx:f>
      </cx:numDim>
    </cx:data>
    <cx:data id="2">
      <cx:numDim type="val">
        <cx:f>_xlchart.v1.39</cx:f>
      </cx:numDim>
    </cx:data>
  </cx:chartData>
  <cx:chart>
    <cx:plotArea>
      <cx:plotAreaRegion>
        <cx:series layoutId="boxWhisker" uniqueId="{E6102D06-75ED-A04E-9A83-B8F938511202}">
          <cx:tx>
            <cx:txData>
              <cx:f>_xlchart.v1.34</cx:f>
              <cx:v>Readiness</cx:v>
            </cx:txData>
          </cx:tx>
          <cx:dataId val="0"/>
          <cx:layoutPr>
            <cx:visibility meanLine="1" meanMarker="1" nonoutliers="1" outliers="1"/>
            <cx:statistics quartileMethod="exclusive"/>
          </cx:layoutPr>
        </cx:series>
        <cx:series layoutId="boxWhisker" uniqueId="{C016457D-CC30-364A-B4B4-D297CDF652B7}">
          <cx:tx>
            <cx:txData>
              <cx:f>_xlchart.v1.36</cx:f>
              <cx:v>Navigation</cx:v>
            </cx:txData>
          </cx:tx>
          <cx:dataId val="1"/>
          <cx:layoutPr>
            <cx:visibility meanLine="1" meanMarker="1" nonoutliers="1" outliers="1"/>
            <cx:statistics quartileMethod="exclusive"/>
          </cx:layoutPr>
        </cx:series>
        <cx:series layoutId="boxWhisker" uniqueId="{3A425786-022D-3340-8051-58BE5B483B39}">
          <cx:tx>
            <cx:txData>
              <cx:f>_xlchart.v1.38</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_xlchart.v1.29</cx:f>
      </cx:numDim>
    </cx:data>
    <cx:data id="1">
      <cx:numDim type="val">
        <cx:f>_xlchart.v1.31</cx:f>
      </cx:numDim>
    </cx:data>
    <cx:data id="2">
      <cx:numDim type="val">
        <cx:f>_xlchart.v1.33</cx:f>
      </cx:numDim>
    </cx:data>
  </cx:chartData>
  <cx:chart>
    <cx:plotArea>
      <cx:plotAreaRegion>
        <cx:series layoutId="boxWhisker" uniqueId="{DE144108-7AA2-D44A-8F0A-20A9782EE182}">
          <cx:tx>
            <cx:txData>
              <cx:f>_xlchart.v1.28</cx:f>
              <cx:v>Agent readiness</cx:v>
            </cx:txData>
          </cx:tx>
          <cx:dataId val="0"/>
          <cx:layoutPr>
            <cx:visibility meanLine="1" meanMarker="1" nonoutliers="1" outliers="1"/>
            <cx:statistics quartileMethod="exclusive"/>
          </cx:layoutPr>
        </cx:series>
        <cx:series layoutId="boxWhisker" uniqueId="{545FA6D2-FCD8-774C-B398-C11C7EA98405}">
          <cx:tx>
            <cx:txData>
              <cx:f>_xlchart.v1.30</cx:f>
              <cx:v>Agent nav</cx:v>
            </cx:txData>
          </cx:tx>
          <cx:dataId val="1"/>
          <cx:layoutPr>
            <cx:visibility meanLine="1" meanMarker="1" nonoutliers="1" outliers="1"/>
            <cx:statistics quartileMethod="exclusive"/>
          </cx:layoutPr>
        </cx:series>
        <cx:series layoutId="boxWhisker" uniqueId="{B09AD8D7-BA7E-4D4D-BC31-8B64B4D10070}">
          <cx:tx>
            <cx:txData>
              <cx:f>_xlchart.v1.32</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_xlchart.v1.41</cx:f>
      </cx:numDim>
    </cx:data>
    <cx:data id="1">
      <cx:numDim type="val">
        <cx:f>_xlchart.v1.43</cx:f>
      </cx:numDim>
    </cx:data>
    <cx:data id="2">
      <cx:numDim type="val">
        <cx:f>_xlchart.v1.45</cx:f>
      </cx:numDim>
    </cx:data>
  </cx:chartData>
  <cx:chart>
    <cx:plotArea>
      <cx:plotAreaRegion>
        <cx:series layoutId="boxWhisker" uniqueId="{DED59538-7B00-784F-94FC-F150085B8676}">
          <cx:tx>
            <cx:txData>
              <cx:f>_xlchart.v1.40</cx:f>
              <cx:v>Readiness</cx:v>
            </cx:txData>
          </cx:tx>
          <cx:dataId val="0"/>
          <cx:layoutPr>
            <cx:visibility meanLine="1" meanMarker="1" nonoutliers="1" outliers="1"/>
            <cx:statistics quartileMethod="exclusive"/>
          </cx:layoutPr>
        </cx:series>
        <cx:series layoutId="boxWhisker" uniqueId="{9117605D-3EDA-994B-9B10-DCF4C2D03567}">
          <cx:tx>
            <cx:txData>
              <cx:f>_xlchart.v1.42</cx:f>
              <cx:v>Navigation</cx:v>
            </cx:txData>
          </cx:tx>
          <cx:dataId val="1"/>
          <cx:layoutPr>
            <cx:visibility meanLine="1" meanMarker="1" nonoutliers="1" outliers="1"/>
            <cx:statistics quartileMethod="exclusive"/>
          </cx:layoutPr>
        </cx:series>
        <cx:series layoutId="boxWhisker" uniqueId="{7B7FBE53-30A4-8E43-9A59-39414D4D04DC}">
          <cx:tx>
            <cx:txData>
              <cx:f>_xlchart.v1.44</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_xlchart.v1.65</cx:f>
      </cx:numDim>
    </cx:data>
    <cx:data id="1">
      <cx:numDim type="val">
        <cx:f>_xlchart.v1.67</cx:f>
      </cx:numDim>
    </cx:data>
    <cx:data id="2">
      <cx:numDim type="val">
        <cx:f>_xlchart.v1.69</cx:f>
      </cx:numDim>
    </cx:data>
  </cx:chartData>
  <cx:chart>
    <cx:plotArea>
      <cx:plotAreaRegion>
        <cx:series layoutId="boxWhisker" uniqueId="{DE144108-7AA2-D44A-8F0A-20A9782EE182}">
          <cx:tx>
            <cx:txData>
              <cx:f>_xlchart.v1.64</cx:f>
              <cx:v>Agent readiness</cx:v>
            </cx:txData>
          </cx:tx>
          <cx:dataId val="0"/>
          <cx:layoutPr>
            <cx:visibility meanLine="1" meanMarker="1" nonoutliers="1" outliers="1"/>
            <cx:statistics quartileMethod="exclusive"/>
          </cx:layoutPr>
        </cx:series>
        <cx:series layoutId="boxWhisker" uniqueId="{545FA6D2-FCD8-774C-B398-C11C7EA98405}">
          <cx:tx>
            <cx:txData>
              <cx:f>_xlchart.v1.66</cx:f>
              <cx:v>Agent nav</cx:v>
            </cx:txData>
          </cx:tx>
          <cx:dataId val="1"/>
          <cx:layoutPr>
            <cx:visibility meanLine="1" meanMarker="1" nonoutliers="1" outliers="1"/>
            <cx:statistics quartileMethod="exclusive"/>
          </cx:layoutPr>
        </cx:series>
        <cx:series layoutId="boxWhisker" uniqueId="{B09AD8D7-BA7E-4D4D-BC31-8B64B4D10070}">
          <cx:tx>
            <cx:txData>
              <cx:f>_xlchart.v1.68</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_xlchart.v1.71</cx:f>
      </cx:numDim>
    </cx:data>
    <cx:data id="1">
      <cx:numDim type="val">
        <cx:f>_xlchart.v1.73</cx:f>
      </cx:numDim>
    </cx:data>
    <cx:data id="2">
      <cx:numDim type="val">
        <cx:f>_xlchart.v1.75</cx:f>
      </cx:numDim>
    </cx:data>
  </cx:chartData>
  <cx:chart>
    <cx:plotArea>
      <cx:plotAreaRegion>
        <cx:series layoutId="boxWhisker" uniqueId="{00000000-5843-E34F-BE27-922F4E3ADB0D}">
          <cx:tx>
            <cx:txData>
              <cx:f>_xlchart.v1.70</cx:f>
              <cx:v>Agent readiness</cx:v>
            </cx:txData>
          </cx:tx>
          <cx:dataId val="0"/>
          <cx:layoutPr>
            <cx:visibility meanLine="1" meanMarker="1" nonoutliers="1" outliers="1"/>
            <cx:statistics quartileMethod="exclusive"/>
          </cx:layoutPr>
        </cx:series>
        <cx:series layoutId="boxWhisker" uniqueId="{00000001-5843-E34F-BE27-922F4E3ADB0D}">
          <cx:tx>
            <cx:txData>
              <cx:f>_xlchart.v1.72</cx:f>
              <cx:v>Agent nav</cx:v>
            </cx:txData>
          </cx:tx>
          <cx:dataId val="1"/>
          <cx:layoutPr>
            <cx:visibility meanLine="1" meanMarker="1" nonoutliers="1" outliers="1"/>
            <cx:statistics quartileMethod="exclusive"/>
          </cx:layoutPr>
        </cx:series>
        <cx:series layoutId="boxWhisker" uniqueId="{00000002-5843-E34F-BE27-922F4E3ADB0D}">
          <cx:tx>
            <cx:txData>
              <cx:f>_xlchart.v1.74</cx:f>
              <cx:v>Agent assert</cx:v>
            </cx:txData>
          </cx:tx>
          <cx:dataPt idx="48"/>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_xlchart.v1.77</cx:f>
      </cx:numDim>
    </cx:data>
    <cx:data id="1">
      <cx:numDim type="val">
        <cx:f>_xlchart.v1.79</cx:f>
      </cx:numDim>
    </cx:data>
    <cx:data id="2">
      <cx:numDim type="val">
        <cx:f>_xlchart.v1.81</cx:f>
      </cx:numDim>
    </cx:data>
  </cx:chartData>
  <cx:chart>
    <cx:plotArea>
      <cx:plotAreaRegion>
        <cx:series layoutId="boxWhisker" uniqueId="{FC13D3F7-BCD0-C44B-BF50-253272C3E0C4}">
          <cx:tx>
            <cx:txData>
              <cx:f>_xlchart.v1.76</cx:f>
              <cx:v>Readiness</cx:v>
            </cx:txData>
          </cx:tx>
          <cx:dataId val="0"/>
          <cx:layoutPr>
            <cx:visibility meanLine="1" meanMarker="1" nonoutliers="1" outliers="1"/>
            <cx:statistics quartileMethod="exclusive"/>
          </cx:layoutPr>
        </cx:series>
        <cx:series layoutId="boxWhisker" uniqueId="{2520C130-4989-1147-9DCD-28281AEB1479}">
          <cx:tx>
            <cx:txData>
              <cx:f>_xlchart.v1.78</cx:f>
              <cx:v>Navigation</cx:v>
            </cx:txData>
          </cx:tx>
          <cx:dataId val="1"/>
          <cx:layoutPr>
            <cx:visibility meanLine="1" meanMarker="1" nonoutliers="1" outliers="1"/>
            <cx:statistics quartileMethod="exclusive"/>
          </cx:layoutPr>
        </cx:series>
        <cx:series layoutId="boxWhisker" uniqueId="{CFF5A326-E113-E341-9317-9B3220ACFCDB}">
          <cx:tx>
            <cx:txData>
              <cx:f>_xlchart.v1.80</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_xlchart.v1.83</cx:f>
      </cx:numDim>
    </cx:data>
    <cx:data id="1">
      <cx:numDim type="val">
        <cx:f>_xlchart.v1.85</cx:f>
      </cx:numDim>
    </cx:data>
    <cx:data id="2">
      <cx:numDim type="val">
        <cx:f>_xlchart.v1.87</cx:f>
      </cx:numDim>
    </cx:data>
  </cx:chartData>
  <cx:chart>
    <cx:plotArea>
      <cx:plotAreaRegion>
        <cx:series layoutId="boxWhisker" uniqueId="{00000000-B231-3C4F-B4F0-74D8102FB461}">
          <cx:tx>
            <cx:txData>
              <cx:f>_xlchart.v1.82</cx:f>
              <cx:v>Agent readiness</cx:v>
            </cx:txData>
          </cx:tx>
          <cx:dataId val="0"/>
          <cx:layoutPr>
            <cx:visibility meanLine="1" meanMarker="1" nonoutliers="1" outliers="1"/>
            <cx:statistics quartileMethod="exclusive"/>
          </cx:layoutPr>
        </cx:series>
        <cx:series layoutId="boxWhisker" uniqueId="{00000001-B231-3C4F-B4F0-74D8102FB461}">
          <cx:tx>
            <cx:txData>
              <cx:f>_xlchart.v1.84</cx:f>
              <cx:v>Agent nav</cx:v>
            </cx:txData>
          </cx:tx>
          <cx:dataId val="1"/>
          <cx:layoutPr>
            <cx:visibility meanLine="1" meanMarker="1" nonoutliers="1" outliers="1"/>
            <cx:statistics quartileMethod="exclusive"/>
          </cx:layoutPr>
        </cx:series>
        <cx:series layoutId="boxWhisker" uniqueId="{00000002-B231-3C4F-B4F0-74D8102FB461}">
          <cx:tx>
            <cx:txData>
              <cx:f>_xlchart.v1.86</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_xlchart.v1.89</cx:f>
      </cx:numDim>
    </cx:data>
    <cx:data id="1">
      <cx:numDim type="val">
        <cx:f>_xlchart.v1.91</cx:f>
      </cx:numDim>
    </cx:data>
    <cx:data id="2">
      <cx:numDim type="val">
        <cx:f>_xlchart.v1.93</cx:f>
      </cx:numDim>
    </cx:data>
  </cx:chartData>
  <cx:chart>
    <cx:plotArea>
      <cx:plotAreaRegion>
        <cx:series layoutId="boxWhisker" uniqueId="{49DFEC29-F85A-EE43-BC11-A6F40EEBFFC0}">
          <cx:tx>
            <cx:txData>
              <cx:f>_xlchart.v1.88</cx:f>
              <cx:v>Agent readiness</cx:v>
            </cx:txData>
          </cx:tx>
          <cx:dataId val="0"/>
          <cx:layoutPr>
            <cx:visibility meanLine="1" meanMarker="1" nonoutliers="1" outliers="1"/>
            <cx:statistics quartileMethod="exclusive"/>
          </cx:layoutPr>
        </cx:series>
        <cx:series layoutId="boxWhisker" uniqueId="{F0B36B9E-051C-A048-B877-6208F41D1C09}">
          <cx:tx>
            <cx:txData>
              <cx:f>_xlchart.v1.90</cx:f>
              <cx:v>Agent nav</cx:v>
            </cx:txData>
          </cx:tx>
          <cx:dataId val="1"/>
          <cx:layoutPr>
            <cx:visibility meanLine="1" meanMarker="1" nonoutliers="1" outliers="1"/>
            <cx:statistics quartileMethod="exclusive"/>
          </cx:layoutPr>
        </cx:series>
        <cx:series layoutId="boxWhisker" uniqueId="{A32F4D24-4EE7-864B-A5BB-3CEB94A2613E}">
          <cx:tx>
            <cx:txData>
              <cx:f>_xlchart.v1.92</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_xlchart.v1.95</cx:f>
      </cx:numDim>
    </cx:data>
    <cx:data id="1">
      <cx:numDim type="val">
        <cx:f>_xlchart.v1.97</cx:f>
      </cx:numDim>
    </cx:data>
    <cx:data id="2">
      <cx:numDim type="val">
        <cx:f>_xlchart.v1.99</cx:f>
      </cx:numDim>
    </cx:data>
  </cx:chartData>
  <cx:chart>
    <cx:plotArea>
      <cx:plotAreaRegion>
        <cx:series layoutId="boxWhisker" uniqueId="{00000000-3CE9-9C44-A06D-B29DC31C534D}">
          <cx:tx>
            <cx:txData>
              <cx:f>_xlchart.v1.94</cx:f>
              <cx:v>Agent readiness</cx:v>
            </cx:txData>
          </cx:tx>
          <cx:dataId val="0"/>
          <cx:layoutPr>
            <cx:visibility meanLine="1" meanMarker="1" nonoutliers="1" outliers="1"/>
            <cx:statistics quartileMethod="exclusive"/>
          </cx:layoutPr>
        </cx:series>
        <cx:series layoutId="boxWhisker" uniqueId="{00000001-3CE9-9C44-A06D-B29DC31C534D}">
          <cx:tx>
            <cx:txData>
              <cx:f>_xlchart.v1.96</cx:f>
              <cx:v>Agent nav</cx:v>
            </cx:txData>
          </cx:tx>
          <cx:dataId val="1"/>
          <cx:layoutPr>
            <cx:visibility meanLine="1" meanMarker="1" nonoutliers="1" outliers="1"/>
            <cx:statistics quartileMethod="exclusive"/>
          </cx:layoutPr>
        </cx:series>
        <cx:series layoutId="boxWhisker" uniqueId="{00000002-3CE9-9C44-A06D-B29DC31C534D}">
          <cx:tx>
            <cx:txData>
              <cx:f>_xlchart.v1.98</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_xlchart.v1.101</cx:f>
      </cx:numDim>
    </cx:data>
    <cx:data id="1">
      <cx:numDim type="val">
        <cx:f>_xlchart.v1.103</cx:f>
      </cx:numDim>
    </cx:data>
    <cx:data id="2">
      <cx:numDim type="val">
        <cx:f>_xlchart.v1.105</cx:f>
      </cx:numDim>
    </cx:data>
  </cx:chartData>
  <cx:chart>
    <cx:plotArea>
      <cx:plotAreaRegion>
        <cx:series layoutId="boxWhisker" uniqueId="{EA483BA9-6061-2943-A543-581C5EC2CCD8}">
          <cx:tx>
            <cx:txData>
              <cx:f>_xlchart.v1.100</cx:f>
              <cx:v>Readiness</cx:v>
            </cx:txData>
          </cx:tx>
          <cx:dataId val="0"/>
          <cx:layoutPr>
            <cx:visibility meanLine="1" meanMarker="1" nonoutliers="1" outliers="1"/>
            <cx:statistics quartileMethod="exclusive"/>
          </cx:layoutPr>
        </cx:series>
        <cx:series layoutId="boxWhisker" uniqueId="{A9EA80A4-8E60-A949-84B1-7D3CF356CE8E}">
          <cx:tx>
            <cx:txData>
              <cx:f>_xlchart.v1.102</cx:f>
              <cx:v>Navigation</cx:v>
            </cx:txData>
          </cx:tx>
          <cx:dataId val="1"/>
          <cx:layoutPr>
            <cx:visibility meanLine="1" meanMarker="1" nonoutliers="1" outliers="1"/>
            <cx:statistics quartileMethod="exclusive"/>
          </cx:layoutPr>
        </cx:series>
        <cx:series layoutId="boxWhisker" uniqueId="{4CDE16AE-B232-1741-9588-811B5F552441}">
          <cx:tx>
            <cx:txData>
              <cx:f>_xlchart.v1.104</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numDim type="val">
        <cx:f>_xlchart.v1.113</cx:f>
      </cx:numDim>
    </cx:data>
    <cx:data id="1">
      <cx:numDim type="val">
        <cx:f>_xlchart.v1.115</cx:f>
      </cx:numDim>
    </cx:data>
    <cx:data id="2">
      <cx:numDim type="val">
        <cx:f>_xlchart.v1.117</cx:f>
      </cx:numDim>
    </cx:data>
  </cx:chartData>
  <cx:chart>
    <cx:plotArea>
      <cx:plotAreaRegion>
        <cx:series layoutId="boxWhisker" uniqueId="{00000000-8E6F-AF46-851A-81C731BDD736}">
          <cx:tx>
            <cx:txData>
              <cx:f>_xlchart.v1.112</cx:f>
              <cx:v>Agent readiness</cx:v>
            </cx:txData>
          </cx:tx>
          <cx:dataId val="0"/>
          <cx:layoutPr>
            <cx:visibility meanLine="1" meanMarker="1" nonoutliers="1" outliers="1"/>
            <cx:statistics quartileMethod="exclusive"/>
          </cx:layoutPr>
        </cx:series>
        <cx:series layoutId="boxWhisker" uniqueId="{00000001-8E6F-AF46-851A-81C731BDD736}">
          <cx:tx>
            <cx:txData>
              <cx:f>_xlchart.v1.114</cx:f>
              <cx:v>Agent nav</cx:v>
            </cx:txData>
          </cx:tx>
          <cx:dataId val="1"/>
          <cx:layoutPr>
            <cx:visibility meanLine="1" meanMarker="1" nonoutliers="1" outliers="1"/>
            <cx:statistics quartileMethod="exclusive"/>
          </cx:layoutPr>
        </cx:series>
        <cx:series layoutId="boxWhisker" uniqueId="{00000002-8E6F-AF46-851A-81C731BDD736}">
          <cx:tx>
            <cx:txData>
              <cx:f>_xlchart.v1.116</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numDim type="val">
        <cx:f>_xlchart.v1.107</cx:f>
      </cx:numDim>
    </cx:data>
    <cx:data id="1">
      <cx:numDim type="val">
        <cx:f>_xlchart.v1.109</cx:f>
      </cx:numDim>
    </cx:data>
    <cx:data id="2">
      <cx:numDim type="val">
        <cx:f>_xlchart.v1.111</cx:f>
      </cx:numDim>
    </cx:data>
  </cx:chartData>
  <cx:chart>
    <cx:plotArea>
      <cx:plotAreaRegion>
        <cx:series layoutId="boxWhisker" uniqueId="{E6102D06-75ED-A04E-9A83-B8F938511202}">
          <cx:tx>
            <cx:txData>
              <cx:f>_xlchart.v1.106</cx:f>
              <cx:v>Readiness</cx:v>
            </cx:txData>
          </cx:tx>
          <cx:dataId val="0"/>
          <cx:layoutPr>
            <cx:visibility meanLine="1" meanMarker="1" nonoutliers="1" outliers="1"/>
            <cx:statistics quartileMethod="exclusive"/>
          </cx:layoutPr>
        </cx:series>
        <cx:series layoutId="boxWhisker" uniqueId="{C016457D-CC30-364A-B4B4-D297CDF652B7}">
          <cx:tx>
            <cx:txData>
              <cx:f>_xlchart.v1.108</cx:f>
              <cx:v>Navigation</cx:v>
            </cx:txData>
          </cx:tx>
          <cx:dataId val="1"/>
          <cx:layoutPr>
            <cx:visibility meanLine="1" meanMarker="1" nonoutliers="1" outliers="1"/>
            <cx:statistics quartileMethod="exclusive"/>
          </cx:layoutPr>
        </cx:series>
        <cx:series layoutId="boxWhisker" uniqueId="{3A425786-022D-3340-8051-58BE5B483B39}">
          <cx:tx>
            <cx:txData>
              <cx:f>_xlchart.v1.110</cx:f>
              <cx:v>Assertion</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numDim type="val">
        <cx:f>_xlchart.v1.119</cx:f>
      </cx:numDim>
    </cx:data>
    <cx:data id="1">
      <cx:numDim type="val">
        <cx:f>_xlchart.v1.121</cx:f>
      </cx:numDim>
    </cx:data>
    <cx:data id="2">
      <cx:numDim type="val">
        <cx:f>_xlchart.v1.123</cx:f>
      </cx:numDim>
    </cx:data>
  </cx:chartData>
  <cx:chart>
    <cx:plotArea>
      <cx:plotAreaRegion>
        <cx:series layoutId="boxWhisker" uniqueId="{00000000-1480-9C4B-95D1-16B31A4E154F}">
          <cx:tx>
            <cx:txData>
              <cx:f>_xlchart.v1.118</cx:f>
              <cx:v>Agent readiness</cx:v>
            </cx:txData>
          </cx:tx>
          <cx:dataId val="0"/>
          <cx:layoutPr>
            <cx:visibility meanLine="1" meanMarker="1" nonoutliers="1" outliers="1"/>
            <cx:statistics quartileMethod="exclusive"/>
          </cx:layoutPr>
        </cx:series>
        <cx:series layoutId="boxWhisker" uniqueId="{00000001-1480-9C4B-95D1-16B31A4E154F}">
          <cx:tx>
            <cx:txData>
              <cx:f>_xlchart.v1.120</cx:f>
              <cx:v>Agent nav</cx:v>
            </cx:txData>
          </cx:tx>
          <cx:dataId val="1"/>
          <cx:layoutPr>
            <cx:visibility meanLine="1" meanMarker="1" nonoutliers="1" outliers="1"/>
            <cx:statistics quartileMethod="exclusive"/>
          </cx:layoutPr>
        </cx:series>
        <cx:series layoutId="boxWhisker" uniqueId="{00000002-1480-9C4B-95D1-16B31A4E154F}">
          <cx:tx>
            <cx:txData>
              <cx:f>_xlchart.v1.122</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numDim type="val">
        <cx:f>_xlchart.v1.125</cx:f>
      </cx:numDim>
    </cx:data>
    <cx:data id="1">
      <cx:numDim type="val">
        <cx:f>_xlchart.v1.127</cx:f>
      </cx:numDim>
    </cx:data>
    <cx:data id="2">
      <cx:numDim type="val">
        <cx:f>_xlchart.v1.129</cx:f>
      </cx:numDim>
    </cx:data>
  </cx:chartData>
  <cx:chart>
    <cx:plotArea>
      <cx:plotAreaRegion>
        <cx:series layoutId="boxWhisker" uniqueId="{00000000-DEB5-524B-A713-F0FD814EE43B}">
          <cx:tx>
            <cx:txData>
              <cx:f>_xlchart.v1.124</cx:f>
              <cx:v>Agent readiness</cx:v>
            </cx:txData>
          </cx:tx>
          <cx:dataId val="0"/>
          <cx:layoutPr>
            <cx:visibility meanLine="1" meanMarker="1" nonoutliers="1" outliers="1"/>
            <cx:statistics quartileMethod="exclusive"/>
          </cx:layoutPr>
        </cx:series>
        <cx:series layoutId="boxWhisker" uniqueId="{00000001-DEB5-524B-A713-F0FD814EE43B}">
          <cx:tx>
            <cx:txData>
              <cx:f>_xlchart.v1.126</cx:f>
              <cx:v>Agent nav</cx:v>
            </cx:txData>
          </cx:tx>
          <cx:dataId val="1"/>
          <cx:layoutPr>
            <cx:visibility meanLine="1" meanMarker="1" nonoutliers="1" outliers="1"/>
            <cx:statistics quartileMethod="exclusive"/>
          </cx:layoutPr>
        </cx:series>
        <cx:series layoutId="boxWhisker" uniqueId="{00000002-DEB5-524B-A713-F0FD814EE43B}">
          <cx:tx>
            <cx:txData>
              <cx:f>_xlchart.v1.128</cx:f>
              <cx:v>Agent assert</cx:v>
            </cx:txData>
          </cx:tx>
          <cx:dataLabels>
            <cx:visibility seriesName="0" categoryName="0" value="0"/>
          </cx:dataLabels>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numDim type="val">
        <cx:f>_xlchart.v1.59</cx:f>
      </cx:numDim>
    </cx:data>
    <cx:data id="1">
      <cx:numDim type="val">
        <cx:f>_xlchart.v1.61</cx:f>
      </cx:numDim>
    </cx:data>
    <cx:data id="2">
      <cx:numDim type="val">
        <cx:f>_xlchart.v1.63</cx:f>
      </cx:numDim>
    </cx:data>
  </cx:chartData>
  <cx:chart>
    <cx:plotArea>
      <cx:plotAreaRegion>
        <cx:series layoutId="boxWhisker" uniqueId="{214D4568-8A96-BA4C-8286-2728D7F576B8}">
          <cx:tx>
            <cx:txData>
              <cx:f>_xlchart.v1.58</cx:f>
              <cx:v>Agent readiness</cx:v>
            </cx:txData>
          </cx:tx>
          <cx:dataId val="0"/>
          <cx:layoutPr>
            <cx:visibility meanLine="1" meanMarker="1" nonoutliers="1" outliers="1"/>
            <cx:statistics quartileMethod="exclusive"/>
          </cx:layoutPr>
        </cx:series>
        <cx:series layoutId="boxWhisker" uniqueId="{D3908902-0016-764E-8554-EBD99460DEB3}">
          <cx:tx>
            <cx:txData>
              <cx:f>_xlchart.v1.60</cx:f>
              <cx:v>Agent nav</cx:v>
            </cx:txData>
          </cx:tx>
          <cx:dataId val="1"/>
          <cx:layoutPr>
            <cx:visibility meanLine="1" meanMarker="1" nonoutliers="1" outliers="1"/>
            <cx:statistics quartileMethod="exclusive"/>
          </cx:layoutPr>
        </cx:series>
        <cx:series layoutId="boxWhisker" uniqueId="{DBF6F50D-0AA2-F545-B8D8-DED11F5E60C9}">
          <cx:tx>
            <cx:txData>
              <cx:f>_xlchart.v1.62</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numDim type="val">
        <cx:f>_xlchart.v1.53</cx:f>
      </cx:numDim>
    </cx:data>
    <cx:data id="1">
      <cx:numDim type="val">
        <cx:f>_xlchart.v1.55</cx:f>
      </cx:numDim>
    </cx:data>
    <cx:data id="2">
      <cx:numDim type="val">
        <cx:f>_xlchart.v1.57</cx:f>
      </cx:numDim>
    </cx:data>
  </cx:chartData>
  <cx:chart>
    <cx:plotArea>
      <cx:plotAreaRegion>
        <cx:series layoutId="boxWhisker" uniqueId="{00000000-85C2-8147-A346-BA7D18C4D2D5}">
          <cx:tx>
            <cx:txData>
              <cx:f>_xlchart.v1.52</cx:f>
              <cx:v>Agent readiness</cx:v>
            </cx:txData>
          </cx:tx>
          <cx:dataId val="0"/>
          <cx:layoutPr>
            <cx:visibility meanLine="1" meanMarker="1" nonoutliers="1" outliers="1"/>
            <cx:statistics quartileMethod="exclusive"/>
          </cx:layoutPr>
        </cx:series>
        <cx:series layoutId="boxWhisker" uniqueId="{00000001-85C2-8147-A346-BA7D18C4D2D5}">
          <cx:tx>
            <cx:txData>
              <cx:f>_xlchart.v1.54</cx:f>
              <cx:v>Agent nav</cx:v>
            </cx:txData>
          </cx:tx>
          <cx:dataId val="1"/>
          <cx:layoutPr>
            <cx:visibility meanLine="1" meanMarker="1" nonoutliers="1" outliers="1"/>
            <cx:statistics quartileMethod="exclusive"/>
          </cx:layoutPr>
        </cx:series>
        <cx:series layoutId="boxWhisker" uniqueId="{00000002-85C2-8147-A346-BA7D18C4D2D5}">
          <cx:tx>
            <cx:txData>
              <cx:f>_xlchart.v1.56</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2.xml><?xml version="1.0" encoding="utf-8"?>
<cx:chartSpace xmlns:a="http://schemas.openxmlformats.org/drawingml/2006/main" xmlns:r="http://schemas.openxmlformats.org/officeDocument/2006/relationships" xmlns:cx="http://schemas.microsoft.com/office/drawing/2014/chartex">
  <cx:chartData>
    <cx:data id="0">
      <cx:numDim type="val">
        <cx:f>_xlchart.v1.143</cx:f>
      </cx:numDim>
    </cx:data>
    <cx:data id="1">
      <cx:numDim type="val">
        <cx:f>_xlchart.v1.145</cx:f>
      </cx:numDim>
    </cx:data>
    <cx:data id="2">
      <cx:numDim type="val">
        <cx:f>_xlchart.v1.147</cx:f>
      </cx:numDim>
    </cx:data>
  </cx:chartData>
  <cx:chart>
    <cx:plotArea>
      <cx:plotAreaRegion>
        <cx:series layoutId="boxWhisker" uniqueId="{00000000-EA9B-644B-B8CD-A2B24607956B}">
          <cx:tx>
            <cx:txData>
              <cx:f>_xlchart.v1.142</cx:f>
              <cx:v>Agent readiness</cx:v>
            </cx:txData>
          </cx:tx>
          <cx:dataId val="0"/>
          <cx:layoutPr>
            <cx:visibility meanLine="1" meanMarker="1" nonoutliers="1" outliers="1"/>
            <cx:statistics quartileMethod="exclusive"/>
          </cx:layoutPr>
        </cx:series>
        <cx:series layoutId="boxWhisker" uniqueId="{00000001-EA9B-644B-B8CD-A2B24607956B}">
          <cx:tx>
            <cx:txData>
              <cx:f>_xlchart.v1.144</cx:f>
              <cx:v>Agent nav</cx:v>
            </cx:txData>
          </cx:tx>
          <cx:dataId val="1"/>
          <cx:layoutPr>
            <cx:visibility meanLine="1" meanMarker="1" nonoutliers="1" outliers="1"/>
            <cx:statistics quartileMethod="exclusive"/>
          </cx:layoutPr>
        </cx:series>
        <cx:series layoutId="boxWhisker" uniqueId="{00000002-EA9B-644B-B8CD-A2B24607956B}">
          <cx:tx>
            <cx:txData>
              <cx:f>_xlchart.v1.146</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3.xml><?xml version="1.0" encoding="utf-8"?>
<cx:chartSpace xmlns:a="http://schemas.openxmlformats.org/drawingml/2006/main" xmlns:r="http://schemas.openxmlformats.org/officeDocument/2006/relationships" xmlns:cx="http://schemas.microsoft.com/office/drawing/2014/chartex">
  <cx:chartData>
    <cx:data id="0">
      <cx:numDim type="val">
        <cx:f>_xlchart.v1.131</cx:f>
      </cx:numDim>
    </cx:data>
    <cx:data id="1">
      <cx:numDim type="val">
        <cx:f>_xlchart.v1.133</cx:f>
      </cx:numDim>
    </cx:data>
    <cx:data id="2">
      <cx:numDim type="val">
        <cx:f>_xlchart.v1.135</cx:f>
      </cx:numDim>
    </cx:data>
  </cx:chartData>
  <cx:chart>
    <cx:plotArea>
      <cx:plotAreaRegion>
        <cx:series layoutId="boxWhisker" uniqueId="{00000000-3AD7-E747-8F30-A9E73F4933AF}">
          <cx:tx>
            <cx:txData>
              <cx:f>_xlchart.v1.130</cx:f>
              <cx:v>Agent readiness</cx:v>
            </cx:txData>
          </cx:tx>
          <cx:dataId val="0"/>
          <cx:layoutPr>
            <cx:visibility meanLine="1" meanMarker="1" nonoutliers="1" outliers="1"/>
            <cx:statistics quartileMethod="exclusive"/>
          </cx:layoutPr>
        </cx:series>
        <cx:series layoutId="boxWhisker" uniqueId="{00000001-3AD7-E747-8F30-A9E73F4933AF}">
          <cx:tx>
            <cx:txData>
              <cx:f>_xlchart.v1.132</cx:f>
              <cx:v>Agent nav</cx:v>
            </cx:txData>
          </cx:tx>
          <cx:dataId val="1"/>
          <cx:layoutPr>
            <cx:visibility meanLine="1" meanMarker="1" nonoutliers="1" outliers="1"/>
            <cx:statistics quartileMethod="exclusive"/>
          </cx:layoutPr>
        </cx:series>
        <cx:series layoutId="boxWhisker" uniqueId="{00000002-3AD7-E747-8F30-A9E73F4933AF}">
          <cx:tx>
            <cx:txData>
              <cx:f>_xlchart.v1.134</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4.xml><?xml version="1.0" encoding="utf-8"?>
<cx:chartSpace xmlns:a="http://schemas.openxmlformats.org/drawingml/2006/main" xmlns:r="http://schemas.openxmlformats.org/officeDocument/2006/relationships" xmlns:cx="http://schemas.microsoft.com/office/drawing/2014/chartex">
  <cx:chartData>
    <cx:data id="0">
      <cx:numDim type="val">
        <cx:f>_xlchart.v1.137</cx:f>
      </cx:numDim>
    </cx:data>
    <cx:data id="1">
      <cx:numDim type="val">
        <cx:f>_xlchart.v1.139</cx:f>
      </cx:numDim>
    </cx:data>
    <cx:data id="2">
      <cx:numDim type="val">
        <cx:f>_xlchart.v1.141</cx:f>
      </cx:numDim>
    </cx:data>
  </cx:chartData>
  <cx:chart>
    <cx:plotArea>
      <cx:plotAreaRegion>
        <cx:series layoutId="boxWhisker" uniqueId="{00000000-1C8A-F742-BE83-E388B6BDCD46}">
          <cx:tx>
            <cx:txData>
              <cx:f>_xlchart.v1.136</cx:f>
              <cx:v>Agent readiness</cx:v>
            </cx:txData>
          </cx:tx>
          <cx:dataId val="0"/>
          <cx:layoutPr>
            <cx:visibility meanLine="1" meanMarker="1" nonoutliers="1" outliers="1"/>
            <cx:statistics quartileMethod="exclusive"/>
          </cx:layoutPr>
        </cx:series>
        <cx:series layoutId="boxWhisker" uniqueId="{00000001-1C8A-F742-BE83-E388B6BDCD46}">
          <cx:tx>
            <cx:txData>
              <cx:f>_xlchart.v1.138</cx:f>
              <cx:v>Agent nav</cx:v>
            </cx:txData>
          </cx:tx>
          <cx:dataId val="1"/>
          <cx:layoutPr>
            <cx:visibility meanLine="1" meanMarker="1" nonoutliers="1" outliers="1"/>
            <cx:statistics quartileMethod="exclusive"/>
          </cx:layoutPr>
        </cx:series>
        <cx:series layoutId="boxWhisker" uniqueId="{00000002-1C8A-F742-BE83-E388B6BDCD46}">
          <cx:tx>
            <cx:txData>
              <cx:f>_xlchart.v1.140</cx:f>
              <cx:v>Agent assert</cx:v>
            </cx:txData>
          </cx:tx>
          <cx:dataId val="2"/>
          <cx:layoutPr>
            <cx:visibility meanLine="1" meanMarker="1"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5.xml><?xml version="1.0" encoding="utf-8"?>
<cx:chartSpace xmlns:a="http://schemas.openxmlformats.org/drawingml/2006/main" xmlns:r="http://schemas.openxmlformats.org/officeDocument/2006/relationships" xmlns:cx="http://schemas.microsoft.com/office/drawing/2014/chartex">
  <cx:chartData>
    <cx:data id="0">
      <cx:numDim type="val">
        <cx:f>_xlchart.v1.154</cx:f>
      </cx:numDim>
    </cx:data>
    <cx:data id="1">
      <cx:numDim type="val">
        <cx:f>_xlchart.v1.156</cx:f>
      </cx:numDim>
    </cx:data>
    <cx:data id="2">
      <cx:numDim type="val">
        <cx:f>_xlchart.v1.158</cx:f>
      </cx:numDim>
    </cx:data>
  </cx:chartData>
  <cx:chart>
    <cx:plotArea>
      <cx:plotAreaRegion>
        <cx:series layoutId="boxWhisker" uniqueId="{3AAFD5BF-A10C-B14D-961E-807F07BF5839}">
          <cx:tx>
            <cx:txData>
              <cx:f>_xlchart.v1.155</cx:f>
              <cx:v>TestG</cx:v>
            </cx:txData>
          </cx:tx>
          <cx:dataId val="0"/>
          <cx:layoutPr>
            <cx:visibility meanLine="1" meanMarker="1" nonoutliers="1" outliers="1"/>
            <cx:statistics quartileMethod="exclusive"/>
          </cx:layoutPr>
        </cx:series>
        <cx:series layoutId="boxWhisker" uniqueId="{6551AFE9-10DA-FC48-B149-6FF13C7946AD}">
          <cx:tx>
            <cx:txData>
              <cx:f>_xlchart.v1.157</cx:f>
              <cx:v>Test-M</cx:v>
            </cx:txData>
          </cx:tx>
          <cx:dataId val="1"/>
          <cx:layoutPr>
            <cx:visibility meanLine="1" meanMarker="1" nonoutliers="0" outliers="1"/>
            <cx:statistics quartileMethod="exclusive"/>
          </cx:layoutPr>
        </cx:series>
        <cx:series layoutId="boxWhisker" uniqueId="{4964088C-01FD-4A42-8EF1-F49F2B823F6B}">
          <cx:tx>
            <cx:txData>
              <cx:f>_xlchart.v1.159</cx:f>
              <cx:v>Test-O</cx:v>
            </cx:txData>
          </cx:tx>
          <cx:dataId val="2"/>
          <cx:layoutPr>
            <cx:visibility meanLine="1" meanMarker="1" nonoutliers="0" outliers="1"/>
            <cx:statistics quartileMethod="exclusive"/>
          </cx:layoutPr>
        </cx:series>
      </cx:plotAreaRegion>
      <cx:axis id="0" hidden="1">
        <cx:catScaling gapWidth="1.10000002"/>
        <cx:tickLabels/>
      </cx:axis>
      <cx:axis id="1">
        <cx:valScaling/>
        <cx:majorGridlines/>
        <cx:tickLabels/>
      </cx:axis>
    </cx:plotArea>
    <cx:legend pos="t" align="ctr" overlay="0"/>
  </cx:chart>
</cx:chartSpace>
</file>

<file path=xl/charts/chartEx26.xml><?xml version="1.0" encoding="utf-8"?>
<cx:chartSpace xmlns:a="http://schemas.openxmlformats.org/drawingml/2006/main" xmlns:r="http://schemas.openxmlformats.org/officeDocument/2006/relationships" xmlns:cx="http://schemas.microsoft.com/office/drawing/2014/chartex">
  <cx:chartData>
    <cx:data id="0">
      <cx:numDim type="val">
        <cx:f>_xlchart.v1.161</cx:f>
      </cx:numDim>
    </cx:data>
    <cx:data id="1">
      <cx:numDim type="val">
        <cx:f>_xlchart.v1.163</cx:f>
      </cx:numDim>
    </cx:data>
    <cx:data id="2">
      <cx:numDim type="val">
        <cx:f>_xlchart.v1.165</cx:f>
      </cx:numDim>
    </cx:data>
  </cx:chartData>
  <cx:chart>
    <cx:plotArea>
      <cx:plotAreaRegion>
        <cx:series layoutId="boxWhisker" uniqueId="{B4E73744-117D-A549-A870-DB986FD7FA53}">
          <cx:tx>
            <cx:txData>
              <cx:f>_xlchart.v1.160</cx:f>
              <cx:v>TestG</cx:v>
            </cx:txData>
          </cx:tx>
          <cx:dataId val="0"/>
          <cx:layoutPr>
            <cx:visibility meanLine="1" meanMarker="1" nonoutliers="1" outliers="1"/>
            <cx:statistics quartileMethod="exclusive"/>
          </cx:layoutPr>
        </cx:series>
        <cx:series layoutId="boxWhisker" uniqueId="{8934F307-E655-7647-847E-01EC0BF91165}">
          <cx:tx>
            <cx:txData>
              <cx:f>_xlchart.v1.162</cx:f>
              <cx:v>Test-M</cx:v>
            </cx:txData>
          </cx:tx>
          <cx:dataId val="1"/>
          <cx:layoutPr>
            <cx:visibility meanLine="1" meanMarker="1" nonoutliers="1" outliers="1"/>
            <cx:statistics quartileMethod="exclusive"/>
          </cx:layoutPr>
        </cx:series>
        <cx:series layoutId="boxWhisker" uniqueId="{4D75580C-1F01-3F42-BDA8-C757064EB326}">
          <cx:tx>
            <cx:txData>
              <cx:f>_xlchart.v1.164</cx:f>
              <cx:v>Test-O</cx:v>
            </cx:txData>
          </cx:tx>
          <cx:dataId val="2"/>
          <cx:layoutPr>
            <cx:visibility meanLine="1" meanMarker="1" nonoutliers="1" outliers="1"/>
            <cx:statistics quartileMethod="exclusive"/>
          </cx:layoutPr>
        </cx:series>
      </cx:plotAreaRegion>
      <cx:axis id="0" hidden="1">
        <cx:catScaling gapWidth="1.10000002"/>
        <cx:tickLabels/>
      </cx:axis>
      <cx:axis id="1">
        <cx:valScaling/>
        <cx:majorGridlines/>
        <cx:tickLabels/>
      </cx:axis>
    </cx:plotArea>
    <cx:legend pos="t" align="ctr" overlay="0"/>
  </cx:chart>
</cx:chartSpace>
</file>

<file path=xl/charts/chartEx27.xml><?xml version="1.0" encoding="utf-8"?>
<cx:chartSpace xmlns:a="http://schemas.openxmlformats.org/drawingml/2006/main" xmlns:r="http://schemas.openxmlformats.org/officeDocument/2006/relationships" xmlns:cx="http://schemas.microsoft.com/office/drawing/2014/chartex">
  <cx:chartData>
    <cx:data id="0">
      <cx:numDim type="val">
        <cx:f>_xlchart.v1.149</cx:f>
      </cx:numDim>
    </cx:data>
    <cx:data id="1">
      <cx:numDim type="val">
        <cx:f>_xlchart.v1.151</cx:f>
      </cx:numDim>
    </cx:data>
    <cx:data id="2">
      <cx:numDim type="val">
        <cx:f>_xlchart.v1.153</cx:f>
      </cx:numDim>
    </cx:data>
  </cx:chartData>
  <cx:chart>
    <cx:plotArea>
      <cx:plotAreaRegion>
        <cx:series layoutId="boxWhisker" uniqueId="{9808CFEE-BE02-3447-AF75-B78035DFE302}">
          <cx:tx>
            <cx:txData>
              <cx:f>_xlchart.v1.148</cx:f>
              <cx:v>TestG</cx:v>
            </cx:txData>
          </cx:tx>
          <cx:dataId val="0"/>
          <cx:layoutPr>
            <cx:visibility meanLine="1" meanMarker="1" nonoutliers="1" outliers="1"/>
            <cx:statistics quartileMethod="exclusive"/>
          </cx:layoutPr>
        </cx:series>
        <cx:series layoutId="boxWhisker" uniqueId="{CF9533E4-C289-8140-AEEE-48A7C87E3D32}">
          <cx:tx>
            <cx:txData>
              <cx:f>_xlchart.v1.150</cx:f>
              <cx:v>Test-M</cx:v>
            </cx:txData>
          </cx:tx>
          <cx:dataId val="1"/>
          <cx:layoutPr>
            <cx:visibility meanLine="1" meanMarker="1" nonoutliers="1" outliers="1"/>
            <cx:statistics quartileMethod="exclusive"/>
          </cx:layoutPr>
        </cx:series>
        <cx:series layoutId="boxWhisker" uniqueId="{F134405E-5BC6-3947-8E0D-A3E9427F02C2}">
          <cx:tx>
            <cx:txData>
              <cx:f>_xlchart.v1.152</cx:f>
              <cx:v>Test-O</cx:v>
            </cx:txData>
          </cx:tx>
          <cx:dataId val="2"/>
          <cx:layoutPr>
            <cx:visibility meanLine="1" meanMarker="1" nonoutliers="1" outliers="1"/>
            <cx:statistics quartileMethod="exclusive"/>
          </cx:layoutPr>
        </cx:series>
      </cx:plotAreaRegion>
      <cx:axis id="0" hidden="1">
        <cx:catScaling gapWidth="1.10000002"/>
        <cx:tickLabels/>
      </cx:axis>
      <cx:axis id="1">
        <cx:valScaling/>
        <cx:majorGridlines/>
        <cx:tickLabels/>
      </cx:axis>
    </cx:plotArea>
    <cx:legend pos="t" align="ctr" overlay="0"/>
  </cx:chart>
</cx:chartSpace>
</file>

<file path=xl/charts/chartEx28.xml><?xml version="1.0" encoding="utf-8"?>
<cx:chartSpace xmlns:a="http://schemas.openxmlformats.org/drawingml/2006/main" xmlns:r="http://schemas.openxmlformats.org/officeDocument/2006/relationships" xmlns:cx="http://schemas.microsoft.com/office/drawing/2014/chartex">
  <cx:chartData>
    <cx:data id="0">
      <cx:numDim type="val">
        <cx:f>_xlchart.v1.167</cx:f>
      </cx:numDim>
    </cx:data>
    <cx:data id="1">
      <cx:numDim type="val">
        <cx:f>_xlchart.v1.169</cx:f>
      </cx:numDim>
    </cx:data>
    <cx:data id="2">
      <cx:numDim type="val">
        <cx:f>_xlchart.v1.171</cx:f>
      </cx:numDim>
    </cx:data>
    <cx:data id="3">
      <cx:numDim type="val">
        <cx:f>_xlchart.v1.173</cx:f>
      </cx:numDim>
    </cx:data>
  </cx:chartData>
  <cx:chart>
    <cx:plotArea>
      <cx:plotAreaRegion>
        <cx:series layoutId="boxWhisker" uniqueId="{9A184255-518A-654E-AF29-D2C68492CAD4}">
          <cx:tx>
            <cx:txData>
              <cx:f>_xlchart.v1.166</cx:f>
              <cx:v>FER (fail only) SimpleNLTestRunner</cx:v>
            </cx:txData>
          </cx:tx>
          <cx:dataId val="0"/>
          <cx:layoutPr>
            <cx:visibility meanLine="1" meanMarker="0" nonoutliers="1" outliers="1"/>
            <cx:statistics quartileMethod="exclusive"/>
          </cx:layoutPr>
        </cx:series>
        <cx:series layoutId="boxWhisker" uniqueId="{409D260E-5DD4-4445-8468-7CA355110AF5}">
          <cx:tx>
            <cx:txData>
              <cx:f>_xlchart.v1.168</cx:f>
              <cx:v>FER (fail+inc) SimpleNLTestRunner</cx:v>
            </cx:txData>
          </cx:tx>
          <cx:dataId val="1"/>
          <cx:layoutPr>
            <cx:visibility meanLine="1" meanMarker="0" nonoutliers="1" outliers="1"/>
            <cx:statistics quartileMethod="exclusive"/>
          </cx:layoutPr>
        </cx:series>
        <cx:series layoutId="boxWhisker" uniqueId="{747DDE46-A789-3F42-BCA5-CB38EF108D76}">
          <cx:tx>
            <cx:txData>
              <cx:f>_xlchart.v1.170</cx:f>
              <cx:v>FER (fail only) NLTestRunner </cx:v>
            </cx:txData>
          </cx:tx>
          <cx:dataId val="2"/>
          <cx:layoutPr>
            <cx:visibility meanLine="1" meanMarker="0" nonoutliers="1" outliers="1"/>
            <cx:statistics quartileMethod="exclusive"/>
          </cx:layoutPr>
        </cx:series>
        <cx:series layoutId="boxWhisker" uniqueId="{11EFB8A7-92AD-CF4A-B9E5-A3BD7ADAB34E}">
          <cx:tx>
            <cx:txData>
              <cx:f>_xlchart.v1.172</cx:f>
              <cx:v>FER (fail+inc) NLTestRunner</cx:v>
            </cx:txData>
          </cx:tx>
          <cx:dataId val="3"/>
          <cx:layoutPr>
            <cx:visibility meanLine="1" meanMarker="0"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29.xml><?xml version="1.0" encoding="utf-8"?>
<cx:chartSpace xmlns:a="http://schemas.openxmlformats.org/drawingml/2006/main" xmlns:r="http://schemas.openxmlformats.org/officeDocument/2006/relationships" xmlns:cx="http://schemas.microsoft.com/office/drawing/2014/chartex">
  <cx:chartData>
    <cx:data id="0">
      <cx:numDim type="val">
        <cx:f>_xlchart.v1.175</cx:f>
      </cx:numDim>
    </cx:data>
    <cx:data id="1">
      <cx:numDim type="val">
        <cx:f>_xlchart.v1.177</cx:f>
      </cx:numDim>
    </cx:data>
    <cx:data id="2">
      <cx:numDim type="val">
        <cx:f>_xlchart.v1.179</cx:f>
      </cx:numDim>
    </cx:data>
    <cx:data id="3">
      <cx:numDim type="val">
        <cx:f>_xlchart.v1.181</cx:f>
      </cx:numDim>
    </cx:data>
  </cx:chartData>
  <cx:chart>
    <cx:plotArea>
      <cx:plotAreaRegion>
        <cx:series layoutId="boxWhisker" uniqueId="{EB8ACCF8-F861-E249-B2E7-0E4DD7E0A989}">
          <cx:tx>
            <cx:txData>
              <cx:f>_xlchart.v1.174</cx:f>
              <cx:v>FER (fail only) SimpleNLTestRunner</cx:v>
            </cx:txData>
          </cx:tx>
          <cx:dataId val="0"/>
          <cx:layoutPr>
            <cx:visibility meanLine="1" meanMarker="0" nonoutliers="1" outliers="1"/>
            <cx:statistics quartileMethod="exclusive"/>
          </cx:layoutPr>
        </cx:series>
        <cx:series layoutId="boxWhisker" uniqueId="{093A52CF-2D5C-E643-AFCB-162DC6541DF4}">
          <cx:tx>
            <cx:txData>
              <cx:f>_xlchart.v1.176</cx:f>
              <cx:v>FER (fail+inc) SimpleNLTestRunner</cx:v>
            </cx:txData>
          </cx:tx>
          <cx:dataId val="1"/>
          <cx:layoutPr>
            <cx:visibility meanLine="1" meanMarker="0" nonoutliers="1" outliers="1"/>
            <cx:statistics quartileMethod="exclusive"/>
          </cx:layoutPr>
        </cx:series>
        <cx:series layoutId="boxWhisker" uniqueId="{A05C6772-CD6E-D842-8188-0C50793337AE}">
          <cx:tx>
            <cx:txData>
              <cx:f>_xlchart.v1.178</cx:f>
              <cx:v>FER (fail only) NLTestRunner </cx:v>
            </cx:txData>
          </cx:tx>
          <cx:dataId val="2"/>
          <cx:layoutPr>
            <cx:visibility meanLine="1" meanMarker="0" nonoutliers="1" outliers="1"/>
            <cx:statistics quartileMethod="exclusive"/>
          </cx:layoutPr>
        </cx:series>
        <cx:series layoutId="boxWhisker" uniqueId="{7C95EED5-4FEA-AC46-B5BF-8E097AF9E0DD}">
          <cx:tx>
            <cx:txData>
              <cx:f>_xlchart.v1.180</cx:f>
              <cx:v>FER (fail+inc) NLTestRunner</cx:v>
            </cx:txData>
          </cx:tx>
          <cx:dataId val="3"/>
          <cx:layoutPr>
            <cx:visibility meanLine="1" meanMarker="0"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30.xml><?xml version="1.0" encoding="utf-8"?>
<cx:chartSpace xmlns:a="http://schemas.openxmlformats.org/drawingml/2006/main" xmlns:r="http://schemas.openxmlformats.org/officeDocument/2006/relationships" xmlns:cx="http://schemas.microsoft.com/office/drawing/2014/chartex">
  <cx:chartData>
    <cx:data id="0">
      <cx:numDim type="val">
        <cx:f>_xlchart.v1.183</cx:f>
      </cx:numDim>
    </cx:data>
    <cx:data id="1">
      <cx:numDim type="val">
        <cx:f>_xlchart.v1.185</cx:f>
      </cx:numDim>
    </cx:data>
    <cx:data id="2">
      <cx:numDim type="val">
        <cx:f>_xlchart.v1.187</cx:f>
      </cx:numDim>
    </cx:data>
    <cx:data id="3">
      <cx:numDim type="val">
        <cx:f>_xlchart.v1.189</cx:f>
      </cx:numDim>
    </cx:data>
  </cx:chartData>
  <cx:chart>
    <cx:plotArea>
      <cx:plotAreaRegion>
        <cx:series layoutId="boxWhisker" uniqueId="{B4BCD967-DE4D-D64E-BFF2-1F7DADA41DEA}">
          <cx:tx>
            <cx:txData>
              <cx:f>_xlchart.v1.182</cx:f>
              <cx:v>FER (fail only) SimpleNLTestRunner</cx:v>
            </cx:txData>
          </cx:tx>
          <cx:dataId val="0"/>
          <cx:layoutPr>
            <cx:visibility meanLine="1" meanMarker="0" nonoutliers="1" outliers="1"/>
            <cx:statistics quartileMethod="exclusive"/>
          </cx:layoutPr>
        </cx:series>
        <cx:series layoutId="boxWhisker" uniqueId="{8F3D6AD2-0CCE-E64C-8FFB-DD8F9A50498B}">
          <cx:tx>
            <cx:txData>
              <cx:f>_xlchart.v1.184</cx:f>
              <cx:v>FER (fail+inc) SimpleNLTestRunner</cx:v>
            </cx:txData>
          </cx:tx>
          <cx:dataId val="1"/>
          <cx:layoutPr>
            <cx:visibility meanLine="1" meanMarker="0" nonoutliers="1" outliers="1"/>
            <cx:statistics quartileMethod="exclusive"/>
          </cx:layoutPr>
        </cx:series>
        <cx:series layoutId="boxWhisker" uniqueId="{D2AB5BD9-D68B-B84B-BDA9-707BFAD57CD3}">
          <cx:tx>
            <cx:txData>
              <cx:f>_xlchart.v1.186</cx:f>
              <cx:v>FER (fail only) NLTestRunner </cx:v>
            </cx:txData>
          </cx:tx>
          <cx:dataId val="2"/>
          <cx:layoutPr>
            <cx:visibility meanLine="1" meanMarker="0" nonoutliers="1" outliers="1"/>
            <cx:statistics quartileMethod="exclusive"/>
          </cx:layoutPr>
        </cx:series>
        <cx:series layoutId="boxWhisker" uniqueId="{3374AE1C-E889-624F-A6CB-91FB9E49130C}">
          <cx:tx>
            <cx:txData>
              <cx:f>_xlchart.v1.188</cx:f>
              <cx:v>FER (fail+inc) NLTestRunner</cx:v>
            </cx:txData>
          </cx:tx>
          <cx:dataId val="3"/>
          <cx:layoutPr>
            <cx:visibility meanLine="1" meanMarker="0" nonoutliers="1" outliers="1"/>
            <cx:statistics quartileMethod="exclusive"/>
          </cx:layoutPr>
        </cx:series>
      </cx:plotAreaRegion>
      <cx:axis id="0" hidden="1">
        <cx:catScaling gapWidth="1.10000002"/>
        <cx:tickLabels/>
      </cx:axis>
      <cx:axis id="1">
        <cx:valScaling max="1"/>
        <cx:majorGridlines/>
        <cx:tickLabels/>
      </cx:axis>
    </cx:plotArea>
    <cx:legend pos="t" align="ctr" overlay="0"/>
  </cx:chart>
</cx:chartSpace>
</file>

<file path=xl/charts/chartEx31.xml><?xml version="1.0" encoding="utf-8"?>
<cx:chartSpace xmlns:a="http://schemas.openxmlformats.org/drawingml/2006/main" xmlns:r="http://schemas.openxmlformats.org/officeDocument/2006/relationships" xmlns:cx="http://schemas.microsoft.com/office/drawing/2014/chartex">
  <cx:chartData>
    <cx:data id="0">
      <cx:numDim type="val">
        <cx:f>_xlchart.v1.191</cx:f>
      </cx:numDim>
    </cx:data>
    <cx:data id="1">
      <cx:numDim type="val">
        <cx:f>_xlchart.v1.193</cx:f>
      </cx:numDim>
    </cx:data>
  </cx:chartData>
  <cx:chart>
    <cx:plotArea>
      <cx:plotAreaRegion>
        <cx:series layoutId="boxWhisker" uniqueId="{16059E84-3A5F-144E-8086-ED0FED4DE1A5}">
          <cx:tx>
            <cx:txData>
              <cx:f>_xlchart.v1.190</cx:f>
              <cx:v>PER SimpleNLTestRunner </cx:v>
            </cx:txData>
          </cx:tx>
          <cx:dataId val="0"/>
          <cx:layoutPr>
            <cx:visibility meanLine="1" meanMarker="0" nonoutliers="1" outliers="1"/>
            <cx:statistics quartileMethod="exclusive"/>
          </cx:layoutPr>
        </cx:series>
        <cx:series layoutId="boxWhisker" uniqueId="{8FD9DDB8-DBB7-5E43-9FFD-4D369BBF6BD6}">
          <cx:tx>
            <cx:txData>
              <cx:f>_xlchart.v1.192</cx:f>
              <cx:v>PER NLTestRunner</cx:v>
            </cx:txData>
          </cx:tx>
          <cx:dataId val="1"/>
          <cx:layoutPr>
            <cx:visibility meanLine="1" meanMarker="0" nonoutliers="1" outliers="1"/>
            <cx:statistics quartileMethod="exclusive"/>
          </cx:layoutPr>
        </cx:series>
      </cx:plotAreaRegion>
      <cx:axis id="0">
        <cx:catScaling gapWidth="1.10000002"/>
        <cx:tickLabels/>
      </cx:axis>
      <cx:axis id="1">
        <cx:valScaling max="1"/>
        <cx:majorGridlines/>
        <cx:tickLabels/>
      </cx:axis>
    </cx:plotArea>
    <cx:legend pos="t" align="ctr" overlay="0"/>
  </cx:chart>
</cx:chartSpace>
</file>

<file path=xl/charts/chartEx32.xml><?xml version="1.0" encoding="utf-8"?>
<cx:chartSpace xmlns:a="http://schemas.openxmlformats.org/drawingml/2006/main" xmlns:r="http://schemas.openxmlformats.org/officeDocument/2006/relationships" xmlns:cx="http://schemas.microsoft.com/office/drawing/2014/chartex">
  <cx:chartData>
    <cx:data id="0">
      <cx:numDim type="val">
        <cx:f>_xlchart.v1.199</cx:f>
      </cx:numDim>
    </cx:data>
    <cx:data id="1">
      <cx:numDim type="val">
        <cx:f>_xlchart.v1.201</cx:f>
      </cx:numDim>
    </cx:data>
  </cx:chartData>
  <cx:chart>
    <cx:plotArea>
      <cx:plotAreaRegion>
        <cx:series layoutId="boxWhisker" uniqueId="{5EE889F6-92E8-D14C-B331-73293BD6644B}">
          <cx:tx>
            <cx:txData>
              <cx:f>_xlchart.v1.198</cx:f>
              <cx:v>PER SimpleNLTestRunner </cx:v>
            </cx:txData>
          </cx:tx>
          <cx:dataId val="0"/>
          <cx:layoutPr>
            <cx:visibility meanLine="1" meanMarker="0" nonoutliers="1" outliers="1"/>
            <cx:statistics quartileMethod="exclusive"/>
          </cx:layoutPr>
        </cx:series>
        <cx:series layoutId="boxWhisker" uniqueId="{B9CEA838-A6D8-E944-AF67-FBD069AC60C9}">
          <cx:tx>
            <cx:txData>
              <cx:f>_xlchart.v1.200</cx:f>
              <cx:v>PER NLTestRunner</cx:v>
            </cx:txData>
          </cx:tx>
          <cx:dataId val="1"/>
          <cx:layoutPr>
            <cx:visibility meanLine="1" meanMarker="0" nonoutliers="1" outliers="1"/>
            <cx:statistics quartileMethod="exclusive"/>
          </cx:layoutPr>
        </cx:series>
      </cx:plotAreaRegion>
      <cx:axis id="0">
        <cx:catScaling gapWidth="1.10000002"/>
        <cx:tickLabels/>
      </cx:axis>
      <cx:axis id="1">
        <cx:valScaling max="1"/>
        <cx:majorGridlines/>
        <cx:tickLabels/>
      </cx:axis>
    </cx:plotArea>
    <cx:legend pos="t" align="ctr" overlay="0"/>
  </cx:chart>
</cx:chartSpace>
</file>

<file path=xl/charts/chartEx33.xml><?xml version="1.0" encoding="utf-8"?>
<cx:chartSpace xmlns:a="http://schemas.openxmlformats.org/drawingml/2006/main" xmlns:r="http://schemas.openxmlformats.org/officeDocument/2006/relationships" xmlns:cx="http://schemas.microsoft.com/office/drawing/2014/chartex">
  <cx:chartData>
    <cx:data id="0">
      <cx:numDim type="val">
        <cx:f>_xlchart.v1.195</cx:f>
      </cx:numDim>
    </cx:data>
    <cx:data id="1">
      <cx:numDim type="val">
        <cx:f>_xlchart.v1.197</cx:f>
      </cx:numDim>
    </cx:data>
  </cx:chartData>
  <cx:chart>
    <cx:plotArea>
      <cx:plotAreaRegion>
        <cx:series layoutId="boxWhisker" uniqueId="{B5DD2156-E9A1-8946-8D47-1C8880934B62}">
          <cx:tx>
            <cx:txData>
              <cx:f>_xlchart.v1.194</cx:f>
              <cx:v>PER SimpleNLTestRunner </cx:v>
            </cx:txData>
          </cx:tx>
          <cx:dataId val="0"/>
          <cx:layoutPr>
            <cx:visibility meanLine="1" meanMarker="0" nonoutliers="1" outliers="1"/>
            <cx:statistics quartileMethod="exclusive"/>
          </cx:layoutPr>
        </cx:series>
        <cx:series layoutId="boxWhisker" uniqueId="{9B585951-48D6-0446-AB62-B52F67660560}">
          <cx:tx>
            <cx:txData>
              <cx:f>_xlchart.v1.196</cx:f>
              <cx:v>PER NLTestRunner</cx:v>
            </cx:txData>
          </cx:tx>
          <cx:dataId val="1"/>
          <cx:layoutPr>
            <cx:visibility meanLine="1" meanMarker="0" nonoutliers="1" outliers="1"/>
            <cx:statistics quartileMethod="exclusive"/>
          </cx:layoutPr>
        </cx:series>
      </cx:plotAreaRegion>
      <cx:axis id="0">
        <cx:catScaling gapWidth="1.10000002"/>
        <cx:tickLabels/>
      </cx:axis>
      <cx:axis id="1">
        <cx:valScaling max="1"/>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8.xml"/><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8" Type="http://schemas.microsoft.com/office/2014/relationships/chartEx" Target="../charts/chartEx16.xml"/><Relationship Id="rId13" Type="http://schemas.microsoft.com/office/2014/relationships/chartEx" Target="../charts/chartEx21.xml"/><Relationship Id="rId3" Type="http://schemas.microsoft.com/office/2014/relationships/chartEx" Target="../charts/chartEx11.xml"/><Relationship Id="rId7" Type="http://schemas.microsoft.com/office/2014/relationships/chartEx" Target="../charts/chartEx15.xml"/><Relationship Id="rId12" Type="http://schemas.microsoft.com/office/2014/relationships/chartEx" Target="../charts/chartEx20.xml"/><Relationship Id="rId2" Type="http://schemas.microsoft.com/office/2014/relationships/chartEx" Target="../charts/chartEx10.xml"/><Relationship Id="rId16" Type="http://schemas.microsoft.com/office/2014/relationships/chartEx" Target="../charts/chartEx24.xml"/><Relationship Id="rId1" Type="http://schemas.microsoft.com/office/2014/relationships/chartEx" Target="../charts/chartEx9.xml"/><Relationship Id="rId6" Type="http://schemas.microsoft.com/office/2014/relationships/chartEx" Target="../charts/chartEx14.xml"/><Relationship Id="rId11" Type="http://schemas.microsoft.com/office/2014/relationships/chartEx" Target="../charts/chartEx19.xml"/><Relationship Id="rId5" Type="http://schemas.microsoft.com/office/2014/relationships/chartEx" Target="../charts/chartEx13.xml"/><Relationship Id="rId15" Type="http://schemas.microsoft.com/office/2014/relationships/chartEx" Target="../charts/chartEx23.xml"/><Relationship Id="rId10" Type="http://schemas.microsoft.com/office/2014/relationships/chartEx" Target="../charts/chartEx18.xml"/><Relationship Id="rId4" Type="http://schemas.microsoft.com/office/2014/relationships/chartEx" Target="../charts/chartEx12.xml"/><Relationship Id="rId9" Type="http://schemas.microsoft.com/office/2014/relationships/chartEx" Target="../charts/chartEx17.xml"/><Relationship Id="rId14" Type="http://schemas.microsoft.com/office/2014/relationships/chartEx" Target="../charts/chartEx2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microsoft.com/office/2014/relationships/chartEx" Target="../charts/chartEx27.xml"/><Relationship Id="rId2" Type="http://schemas.microsoft.com/office/2014/relationships/chartEx" Target="../charts/chartEx26.xml"/><Relationship Id="rId1" Type="http://schemas.microsoft.com/office/2014/relationships/chartEx" Target="../charts/chartEx25.xml"/></Relationships>
</file>

<file path=xl/drawings/_rels/drawing5.xml.rels><?xml version="1.0" encoding="UTF-8" standalone="yes"?>
<Relationships xmlns="http://schemas.openxmlformats.org/package/2006/relationships"><Relationship Id="rId8" Type="http://schemas.microsoft.com/office/2014/relationships/chartEx" Target="../charts/chartEx29.xml"/><Relationship Id="rId3" Type="http://schemas.openxmlformats.org/officeDocument/2006/relationships/chart" Target="../charts/chart5.xml"/><Relationship Id="rId7" Type="http://schemas.microsoft.com/office/2014/relationships/chartEx" Target="../charts/chartEx28.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microsoft.com/office/2014/relationships/chartEx" Target="../charts/chartEx3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microsoft.com/office/2014/relationships/chartEx" Target="../charts/chartEx33.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32.xml"/><Relationship Id="rId5" Type="http://schemas.microsoft.com/office/2014/relationships/chartEx" Target="../charts/chartEx31.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789539</xdr:colOff>
      <xdr:row>51</xdr:row>
      <xdr:rowOff>12700</xdr:rowOff>
    </xdr:from>
    <xdr:to>
      <xdr:col>2</xdr:col>
      <xdr:colOff>1511300</xdr:colOff>
      <xdr:row>64</xdr:row>
      <xdr:rowOff>162246</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47CC882C-8333-E32C-F81E-22E1E9F917DE}"/>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9539" y="10375900"/>
              <a:ext cx="3439561"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9</xdr:col>
      <xdr:colOff>370</xdr:colOff>
      <xdr:row>50</xdr:row>
      <xdr:rowOff>9909</xdr:rowOff>
    </xdr:from>
    <xdr:to>
      <xdr:col>13</xdr:col>
      <xdr:colOff>118808</xdr:colOff>
      <xdr:row>63</xdr:row>
      <xdr:rowOff>156031</xdr:rowOff>
    </xdr:to>
    <mc:AlternateContent xmlns:mc="http://schemas.openxmlformats.org/markup-compatibility/2006">
      <mc:Choice xmlns:cx1="http://schemas.microsoft.com/office/drawing/2015/9/8/chartex" Requires="cx1">
        <xdr:graphicFrame macro="">
          <xdr:nvGraphicFramePr>
            <xdr:cNvPr id="8" name="Graphique 7">
              <a:extLst>
                <a:ext uri="{FF2B5EF4-FFF2-40B4-BE49-F238E27FC236}">
                  <a16:creationId xmlns:a16="http://schemas.microsoft.com/office/drawing/2014/main" id="{2CAAC4BA-5AC6-D680-60A9-05415792FF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617570" y="10169909"/>
              <a:ext cx="3420438" cy="2787722"/>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17</xdr:col>
      <xdr:colOff>23225</xdr:colOff>
      <xdr:row>52</xdr:row>
      <xdr:rowOff>68241</xdr:rowOff>
    </xdr:from>
    <xdr:to>
      <xdr:col>21</xdr:col>
      <xdr:colOff>141664</xdr:colOff>
      <xdr:row>66</xdr:row>
      <xdr:rowOff>14587</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2AEA70AF-8544-15BA-DB91-3D37D8943B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244425" y="10634641"/>
              <a:ext cx="3420439"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33</xdr:col>
      <xdr:colOff>4280</xdr:colOff>
      <xdr:row>51</xdr:row>
      <xdr:rowOff>12557</xdr:rowOff>
    </xdr:from>
    <xdr:to>
      <xdr:col>37</xdr:col>
      <xdr:colOff>122718</xdr:colOff>
      <xdr:row>64</xdr:row>
      <xdr:rowOff>158678</xdr:rowOff>
    </xdr:to>
    <mc:AlternateContent xmlns:mc="http://schemas.openxmlformats.org/markup-compatibility/2006">
      <mc:Choice xmlns:cx1="http://schemas.microsoft.com/office/drawing/2015/9/8/chartex" Requires="cx1">
        <xdr:graphicFrame macro="">
          <xdr:nvGraphicFramePr>
            <xdr:cNvPr id="4" name="Graphique 3">
              <a:extLst>
                <a:ext uri="{FF2B5EF4-FFF2-40B4-BE49-F238E27FC236}">
                  <a16:creationId xmlns:a16="http://schemas.microsoft.com/office/drawing/2014/main" id="{ADF16177-4458-20BE-B775-ADFDFD25CD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433480" y="10375757"/>
              <a:ext cx="3420438" cy="2787721"/>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41</xdr:col>
      <xdr:colOff>18551</xdr:colOff>
      <xdr:row>50</xdr:row>
      <xdr:rowOff>198062</xdr:rowOff>
    </xdr:from>
    <xdr:to>
      <xdr:col>45</xdr:col>
      <xdr:colOff>136989</xdr:colOff>
      <xdr:row>64</xdr:row>
      <xdr:rowOff>144408</xdr:rowOff>
    </xdr:to>
    <mc:AlternateContent xmlns:mc="http://schemas.openxmlformats.org/markup-compatibility/2006">
      <mc:Choice xmlns:cx1="http://schemas.microsoft.com/office/drawing/2015/9/8/chartex" Requires="cx1">
        <xdr:graphicFrame macro="">
          <xdr:nvGraphicFramePr>
            <xdr:cNvPr id="5" name="Graphique 4">
              <a:extLst>
                <a:ext uri="{FF2B5EF4-FFF2-40B4-BE49-F238E27FC236}">
                  <a16:creationId xmlns:a16="http://schemas.microsoft.com/office/drawing/2014/main" id="{3094CD84-D09E-C24D-AF8D-3EA021D29A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7051751" y="10358062"/>
              <a:ext cx="3420438"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49</xdr:col>
      <xdr:colOff>4281</xdr:colOff>
      <xdr:row>48</xdr:row>
      <xdr:rowOff>83905</xdr:rowOff>
    </xdr:from>
    <xdr:to>
      <xdr:col>53</xdr:col>
      <xdr:colOff>122719</xdr:colOff>
      <xdr:row>62</xdr:row>
      <xdr:rowOff>30251</xdr:rowOff>
    </xdr:to>
    <mc:AlternateContent xmlns:mc="http://schemas.openxmlformats.org/markup-compatibility/2006">
      <mc:Choice xmlns:cx1="http://schemas.microsoft.com/office/drawing/2015/9/8/chartex" Requires="cx1">
        <xdr:graphicFrame macro="">
          <xdr:nvGraphicFramePr>
            <xdr:cNvPr id="7" name="Graphique 6">
              <a:extLst>
                <a:ext uri="{FF2B5EF4-FFF2-40B4-BE49-F238E27FC236}">
                  <a16:creationId xmlns:a16="http://schemas.microsoft.com/office/drawing/2014/main" id="{FB11E963-E1BA-F500-A8A7-DAD96BFCCE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641481" y="9837505"/>
              <a:ext cx="3420438"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57</xdr:col>
      <xdr:colOff>161246</xdr:colOff>
      <xdr:row>47</xdr:row>
      <xdr:rowOff>198063</xdr:rowOff>
    </xdr:from>
    <xdr:to>
      <xdr:col>61</xdr:col>
      <xdr:colOff>279685</xdr:colOff>
      <xdr:row>61</xdr:row>
      <xdr:rowOff>144409</xdr:rowOff>
    </xdr:to>
    <mc:AlternateContent xmlns:mc="http://schemas.openxmlformats.org/markup-compatibility/2006">
      <mc:Choice xmlns:cx1="http://schemas.microsoft.com/office/drawing/2015/9/8/chartex" Requires="cx1">
        <xdr:graphicFrame macro="">
          <xdr:nvGraphicFramePr>
            <xdr:cNvPr id="9" name="Graphique 8">
              <a:extLst>
                <a:ext uri="{FF2B5EF4-FFF2-40B4-BE49-F238E27FC236}">
                  <a16:creationId xmlns:a16="http://schemas.microsoft.com/office/drawing/2014/main" id="{97118D70-3881-6B56-D21D-A828BA3713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0402446" y="9748463"/>
              <a:ext cx="3420439" cy="27911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64</xdr:col>
      <xdr:colOff>61359</xdr:colOff>
      <xdr:row>48</xdr:row>
      <xdr:rowOff>42523</xdr:rowOff>
    </xdr:from>
    <xdr:to>
      <xdr:col>68</xdr:col>
      <xdr:colOff>179797</xdr:colOff>
      <xdr:row>62</xdr:row>
      <xdr:rowOff>192069</xdr:rowOff>
    </xdr:to>
    <mc:AlternateContent xmlns:mc="http://schemas.openxmlformats.org/markup-compatibility/2006">
      <mc:Choice xmlns:cx1="http://schemas.microsoft.com/office/drawing/2015/9/8/chartex" Requires="cx1">
        <xdr:graphicFrame macro="">
          <xdr:nvGraphicFramePr>
            <xdr:cNvPr id="10" name="Graphique 9">
              <a:extLst>
                <a:ext uri="{FF2B5EF4-FFF2-40B4-BE49-F238E27FC236}">
                  <a16:creationId xmlns:a16="http://schemas.microsoft.com/office/drawing/2014/main" id="{9110361D-958C-5C91-EAE6-3D96BD6029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6081059" y="9796123"/>
              <a:ext cx="3420438" cy="29943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24191</xdr:colOff>
      <xdr:row>52</xdr:row>
      <xdr:rowOff>12096</xdr:rowOff>
    </xdr:from>
    <xdr:to>
      <xdr:col>5</xdr:col>
      <xdr:colOff>154725</xdr:colOff>
      <xdr:row>65</xdr:row>
      <xdr:rowOff>130194</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44BF06C5-1CEA-224C-BA3B-27364ECC6A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9691" y="10578496"/>
              <a:ext cx="3432534" cy="2759698"/>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xdr:col>
      <xdr:colOff>24191</xdr:colOff>
      <xdr:row>66</xdr:row>
      <xdr:rowOff>1210</xdr:rowOff>
    </xdr:from>
    <xdr:to>
      <xdr:col>5</xdr:col>
      <xdr:colOff>169334</xdr:colOff>
      <xdr:row>79</xdr:row>
      <xdr:rowOff>145141</xdr:rowOff>
    </xdr:to>
    <mc:AlternateContent xmlns:mc="http://schemas.openxmlformats.org/markup-compatibility/2006">
      <mc:Choice xmlns:cx1="http://schemas.microsoft.com/office/drawing/2015/9/8/chartex" Requires="cx1">
        <xdr:graphicFrame macro="">
          <xdr:nvGraphicFramePr>
            <xdr:cNvPr id="4" name="Graphique 3">
              <a:extLst>
                <a:ext uri="{FF2B5EF4-FFF2-40B4-BE49-F238E27FC236}">
                  <a16:creationId xmlns:a16="http://schemas.microsoft.com/office/drawing/2014/main" id="{71CF0EFD-9121-6995-9EED-614DF23DFB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9691" y="13412410"/>
              <a:ext cx="3447143" cy="2785531"/>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11</xdr:col>
      <xdr:colOff>24191</xdr:colOff>
      <xdr:row>52</xdr:row>
      <xdr:rowOff>12095</xdr:rowOff>
    </xdr:from>
    <xdr:to>
      <xdr:col>15</xdr:col>
      <xdr:colOff>154724</xdr:colOff>
      <xdr:row>65</xdr:row>
      <xdr:rowOff>126768</xdr:rowOff>
    </xdr:to>
    <mc:AlternateContent xmlns:mc="http://schemas.openxmlformats.org/markup-compatibility/2006">
      <mc:Choice xmlns:cx1="http://schemas.microsoft.com/office/drawing/2015/9/8/chartex" Requires="cx1">
        <xdr:graphicFrame macro="">
          <xdr:nvGraphicFramePr>
            <xdr:cNvPr id="5" name="Graphique 4">
              <a:extLst>
                <a:ext uri="{FF2B5EF4-FFF2-40B4-BE49-F238E27FC236}">
                  <a16:creationId xmlns:a16="http://schemas.microsoft.com/office/drawing/2014/main" id="{095FC27D-A90A-4941-8849-295435F9B2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104691" y="10578495"/>
              <a:ext cx="3432533" cy="2756273"/>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11</xdr:col>
      <xdr:colOff>30238</xdr:colOff>
      <xdr:row>66</xdr:row>
      <xdr:rowOff>13304</xdr:rowOff>
    </xdr:from>
    <xdr:to>
      <xdr:col>15</xdr:col>
      <xdr:colOff>169333</xdr:colOff>
      <xdr:row>79</xdr:row>
      <xdr:rowOff>108857</xdr:rowOff>
    </xdr:to>
    <mc:AlternateContent xmlns:mc="http://schemas.openxmlformats.org/markup-compatibility/2006">
      <mc:Choice xmlns:cx1="http://schemas.microsoft.com/office/drawing/2015/9/8/chartex" Requires="cx1">
        <xdr:graphicFrame macro="">
          <xdr:nvGraphicFramePr>
            <xdr:cNvPr id="7" name="Graphique 6">
              <a:extLst>
                <a:ext uri="{FF2B5EF4-FFF2-40B4-BE49-F238E27FC236}">
                  <a16:creationId xmlns:a16="http://schemas.microsoft.com/office/drawing/2014/main" id="{9CD7D46B-DCE2-898E-FE3B-1A75701537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10738" y="13424504"/>
              <a:ext cx="3441095" cy="2737153"/>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17</xdr:col>
      <xdr:colOff>0</xdr:colOff>
      <xdr:row>51</xdr:row>
      <xdr:rowOff>0</xdr:rowOff>
    </xdr:from>
    <xdr:to>
      <xdr:col>21</xdr:col>
      <xdr:colOff>149656</xdr:colOff>
      <xdr:row>64</xdr:row>
      <xdr:rowOff>118098</xdr:rowOff>
    </xdr:to>
    <mc:AlternateContent xmlns:mc="http://schemas.openxmlformats.org/markup-compatibility/2006">
      <mc:Choice xmlns:cx1="http://schemas.microsoft.com/office/drawing/2015/9/8/chartex" Requires="cx1">
        <xdr:graphicFrame macro="">
          <xdr:nvGraphicFramePr>
            <xdr:cNvPr id="8" name="Graphique 7">
              <a:extLst>
                <a:ext uri="{FF2B5EF4-FFF2-40B4-BE49-F238E27FC236}">
                  <a16:creationId xmlns:a16="http://schemas.microsoft.com/office/drawing/2014/main" id="{BE71418A-0041-D741-8EDF-96FA05DAA98F}"/>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033500" y="10363200"/>
              <a:ext cx="3451656" cy="2759698"/>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17</xdr:col>
      <xdr:colOff>6049</xdr:colOff>
      <xdr:row>65</xdr:row>
      <xdr:rowOff>1208</xdr:rowOff>
    </xdr:from>
    <xdr:to>
      <xdr:col>21</xdr:col>
      <xdr:colOff>157239</xdr:colOff>
      <xdr:row>78</xdr:row>
      <xdr:rowOff>157237</xdr:rowOff>
    </xdr:to>
    <mc:AlternateContent xmlns:mc="http://schemas.openxmlformats.org/markup-compatibility/2006">
      <mc:Choice xmlns:cx1="http://schemas.microsoft.com/office/drawing/2015/9/8/chartex" Requires="cx1">
        <xdr:graphicFrame macro="">
          <xdr:nvGraphicFramePr>
            <xdr:cNvPr id="9" name="Graphique 8">
              <a:extLst>
                <a:ext uri="{FF2B5EF4-FFF2-40B4-BE49-F238E27FC236}">
                  <a16:creationId xmlns:a16="http://schemas.microsoft.com/office/drawing/2014/main" id="{910DB96A-CE84-32F6-2F8C-1DC98825EF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039549" y="13209208"/>
              <a:ext cx="3453190" cy="2797629"/>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31</xdr:col>
      <xdr:colOff>0</xdr:colOff>
      <xdr:row>51</xdr:row>
      <xdr:rowOff>0</xdr:rowOff>
    </xdr:from>
    <xdr:to>
      <xdr:col>35</xdr:col>
      <xdr:colOff>130534</xdr:colOff>
      <xdr:row>64</xdr:row>
      <xdr:rowOff>118098</xdr:rowOff>
    </xdr:to>
    <mc:AlternateContent xmlns:mc="http://schemas.openxmlformats.org/markup-compatibility/2006">
      <mc:Choice xmlns:cx1="http://schemas.microsoft.com/office/drawing/2015/9/8/chartex" Requires="cx1">
        <xdr:graphicFrame macro="">
          <xdr:nvGraphicFramePr>
            <xdr:cNvPr id="10" name="Graphique 9">
              <a:extLst>
                <a:ext uri="{FF2B5EF4-FFF2-40B4-BE49-F238E27FC236}">
                  <a16:creationId xmlns:a16="http://schemas.microsoft.com/office/drawing/2014/main" id="{5FF4115F-A25E-DF41-A742-F77F03DA37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5590500" y="10363200"/>
              <a:ext cx="3432534" cy="2759698"/>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31</xdr:col>
      <xdr:colOff>18142</xdr:colOff>
      <xdr:row>65</xdr:row>
      <xdr:rowOff>25399</xdr:rowOff>
    </xdr:from>
    <xdr:to>
      <xdr:col>35</xdr:col>
      <xdr:colOff>145143</xdr:colOff>
      <xdr:row>78</xdr:row>
      <xdr:rowOff>205618</xdr:rowOff>
    </xdr:to>
    <mc:AlternateContent xmlns:mc="http://schemas.openxmlformats.org/markup-compatibility/2006">
      <mc:Choice xmlns:cx1="http://schemas.microsoft.com/office/drawing/2015/9/8/chartex" Requires="cx1">
        <xdr:graphicFrame macro="">
          <xdr:nvGraphicFramePr>
            <xdr:cNvPr id="11" name="Graphique 10">
              <a:extLst>
                <a:ext uri="{FF2B5EF4-FFF2-40B4-BE49-F238E27FC236}">
                  <a16:creationId xmlns:a16="http://schemas.microsoft.com/office/drawing/2014/main" id="{1A1E2C4D-A0FC-6DEC-4829-33AA3ECBDB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5608642" y="13233399"/>
              <a:ext cx="3429001" cy="2821819"/>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36</xdr:col>
      <xdr:colOff>24190</xdr:colOff>
      <xdr:row>51</xdr:row>
      <xdr:rowOff>0</xdr:rowOff>
    </xdr:from>
    <xdr:to>
      <xdr:col>40</xdr:col>
      <xdr:colOff>154723</xdr:colOff>
      <xdr:row>64</xdr:row>
      <xdr:rowOff>118098</xdr:rowOff>
    </xdr:to>
    <mc:AlternateContent xmlns:mc="http://schemas.openxmlformats.org/markup-compatibility/2006">
      <mc:Choice xmlns:cx1="http://schemas.microsoft.com/office/drawing/2015/9/8/chartex" Requires="cx1">
        <xdr:graphicFrame macro="">
          <xdr:nvGraphicFramePr>
            <xdr:cNvPr id="13" name="Graphique 12">
              <a:extLst>
                <a:ext uri="{FF2B5EF4-FFF2-40B4-BE49-F238E27FC236}">
                  <a16:creationId xmlns:a16="http://schemas.microsoft.com/office/drawing/2014/main" id="{3B7DFA4E-77A6-1C4E-A426-635280013E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9742190" y="10363200"/>
              <a:ext cx="3432533" cy="2759698"/>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36</xdr:col>
      <xdr:colOff>18143</xdr:colOff>
      <xdr:row>65</xdr:row>
      <xdr:rowOff>13304</xdr:rowOff>
    </xdr:from>
    <xdr:to>
      <xdr:col>40</xdr:col>
      <xdr:colOff>157238</xdr:colOff>
      <xdr:row>78</xdr:row>
      <xdr:rowOff>181427</xdr:rowOff>
    </xdr:to>
    <mc:AlternateContent xmlns:mc="http://schemas.openxmlformats.org/markup-compatibility/2006">
      <mc:Choice xmlns:cx1="http://schemas.microsoft.com/office/drawing/2015/9/8/chartex" Requires="cx1">
        <xdr:graphicFrame macro="">
          <xdr:nvGraphicFramePr>
            <xdr:cNvPr id="14" name="Graphique 13">
              <a:extLst>
                <a:ext uri="{FF2B5EF4-FFF2-40B4-BE49-F238E27FC236}">
                  <a16:creationId xmlns:a16="http://schemas.microsoft.com/office/drawing/2014/main" id="{D523AFD0-79A6-E05E-9DE0-81000D409A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9736143" y="13221304"/>
              <a:ext cx="3441095" cy="2809723"/>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22</xdr:col>
      <xdr:colOff>6048</xdr:colOff>
      <xdr:row>64</xdr:row>
      <xdr:rowOff>194735</xdr:rowOff>
    </xdr:from>
    <xdr:to>
      <xdr:col>26</xdr:col>
      <xdr:colOff>157238</xdr:colOff>
      <xdr:row>78</xdr:row>
      <xdr:rowOff>59268</xdr:rowOff>
    </xdr:to>
    <mc:AlternateContent xmlns:mc="http://schemas.openxmlformats.org/markup-compatibility/2006">
      <mc:Choice xmlns:cx1="http://schemas.microsoft.com/office/drawing/2015/9/8/chartex" Requires="cx1">
        <xdr:graphicFrame macro="">
          <xdr:nvGraphicFramePr>
            <xdr:cNvPr id="15" name="Graphique 14">
              <a:extLst>
                <a:ext uri="{FF2B5EF4-FFF2-40B4-BE49-F238E27FC236}">
                  <a16:creationId xmlns:a16="http://schemas.microsoft.com/office/drawing/2014/main" id="{A13340D9-3470-4E80-08E5-A526794B6C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8167048" y="13199535"/>
              <a:ext cx="3453190" cy="2709333"/>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6</xdr:col>
      <xdr:colOff>0</xdr:colOff>
      <xdr:row>52</xdr:row>
      <xdr:rowOff>12095</xdr:rowOff>
    </xdr:from>
    <xdr:to>
      <xdr:col>10</xdr:col>
      <xdr:colOff>130533</xdr:colOff>
      <xdr:row>65</xdr:row>
      <xdr:rowOff>126769</xdr:rowOff>
    </xdr:to>
    <mc:AlternateContent xmlns:mc="http://schemas.openxmlformats.org/markup-compatibility/2006">
      <mc:Choice xmlns:cx1="http://schemas.microsoft.com/office/drawing/2015/9/8/chartex" Requires="cx1">
        <xdr:graphicFrame macro="">
          <xdr:nvGraphicFramePr>
            <xdr:cNvPr id="16" name="Graphique 15">
              <a:extLst>
                <a:ext uri="{FF2B5EF4-FFF2-40B4-BE49-F238E27FC236}">
                  <a16:creationId xmlns:a16="http://schemas.microsoft.com/office/drawing/2014/main" id="{AEC7A112-9FB2-F24A-86EA-9E7A6A75C6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953000" y="10578495"/>
              <a:ext cx="3432533" cy="2756274"/>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6</xdr:col>
      <xdr:colOff>6048</xdr:colOff>
      <xdr:row>66</xdr:row>
      <xdr:rowOff>13305</xdr:rowOff>
    </xdr:from>
    <xdr:to>
      <xdr:col>10</xdr:col>
      <xdr:colOff>133048</xdr:colOff>
      <xdr:row>79</xdr:row>
      <xdr:rowOff>169333</xdr:rowOff>
    </xdr:to>
    <mc:AlternateContent xmlns:mc="http://schemas.openxmlformats.org/markup-compatibility/2006">
      <mc:Choice xmlns:cx1="http://schemas.microsoft.com/office/drawing/2015/9/8/chartex" Requires="cx1">
        <xdr:graphicFrame macro="">
          <xdr:nvGraphicFramePr>
            <xdr:cNvPr id="17" name="Graphique 16">
              <a:extLst>
                <a:ext uri="{FF2B5EF4-FFF2-40B4-BE49-F238E27FC236}">
                  <a16:creationId xmlns:a16="http://schemas.microsoft.com/office/drawing/2014/main" id="{DA0626D7-EA6A-A18D-390A-7F6B64DAA7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959048" y="13424505"/>
              <a:ext cx="3429000" cy="2797628"/>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26</xdr:col>
      <xdr:colOff>374952</xdr:colOff>
      <xdr:row>65</xdr:row>
      <xdr:rowOff>25400</xdr:rowOff>
    </xdr:from>
    <xdr:to>
      <xdr:col>30</xdr:col>
      <xdr:colOff>520095</xdr:colOff>
      <xdr:row>78</xdr:row>
      <xdr:rowOff>95552</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B2F0269F-E195-F01D-9CDC-D6E71D623B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1759333" y="13390638"/>
              <a:ext cx="3435048"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41</xdr:col>
      <xdr:colOff>586619</xdr:colOff>
      <xdr:row>65</xdr:row>
      <xdr:rowOff>1209</xdr:rowOff>
    </xdr:from>
    <xdr:to>
      <xdr:col>45</xdr:col>
      <xdr:colOff>774095</xdr:colOff>
      <xdr:row>78</xdr:row>
      <xdr:rowOff>71361</xdr:rowOff>
    </xdr:to>
    <mc:AlternateContent xmlns:mc="http://schemas.openxmlformats.org/markup-compatibility/2006">
      <mc:Choice xmlns:cx1="http://schemas.microsoft.com/office/drawing/2015/9/8/chartex" Requires="cx1">
        <xdr:graphicFrame macro="">
          <xdr:nvGraphicFramePr>
            <xdr:cNvPr id="12" name="Graphique 11">
              <a:extLst>
                <a:ext uri="{FF2B5EF4-FFF2-40B4-BE49-F238E27FC236}">
                  <a16:creationId xmlns:a16="http://schemas.microsoft.com/office/drawing/2014/main" id="{9048DFF3-103D-0DAA-A4A5-CC04718F88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34308143" y="13366447"/>
              <a:ext cx="3477381"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47</xdr:col>
      <xdr:colOff>30237</xdr:colOff>
      <xdr:row>65</xdr:row>
      <xdr:rowOff>1210</xdr:rowOff>
    </xdr:from>
    <xdr:to>
      <xdr:col>51</xdr:col>
      <xdr:colOff>181428</xdr:colOff>
      <xdr:row>78</xdr:row>
      <xdr:rowOff>71362</xdr:rowOff>
    </xdr:to>
    <mc:AlternateContent xmlns:mc="http://schemas.openxmlformats.org/markup-compatibility/2006">
      <mc:Choice xmlns:cx1="http://schemas.microsoft.com/office/drawing/2015/9/8/chartex" Requires="cx1">
        <xdr:graphicFrame macro="">
          <xdr:nvGraphicFramePr>
            <xdr:cNvPr id="18" name="Graphique 17">
              <a:extLst>
                <a:ext uri="{FF2B5EF4-FFF2-40B4-BE49-F238E27FC236}">
                  <a16:creationId xmlns:a16="http://schemas.microsoft.com/office/drawing/2014/main" id="{077CBD74-AD62-2A0D-35BE-B328D675D5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38686618" y="13366448"/>
              <a:ext cx="3441096"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oneCellAnchor>
    <xdr:from>
      <xdr:col>7</xdr:col>
      <xdr:colOff>75960</xdr:colOff>
      <xdr:row>14</xdr:row>
      <xdr:rowOff>34027</xdr:rowOff>
    </xdr:from>
    <xdr:ext cx="65" cy="172098"/>
    <xdr:sp macro="" textlink="">
      <xdr:nvSpPr>
        <xdr:cNvPr id="21" name="ZoneTexte 20">
          <a:extLst>
            <a:ext uri="{FF2B5EF4-FFF2-40B4-BE49-F238E27FC236}">
              <a16:creationId xmlns:a16="http://schemas.microsoft.com/office/drawing/2014/main" id="{ACB4F460-5F4F-CA84-85D8-F55AE5A850F8}"/>
            </a:ext>
          </a:extLst>
        </xdr:cNvPr>
        <xdr:cNvSpPr txBox="1"/>
      </xdr:nvSpPr>
      <xdr:spPr>
        <a:xfrm>
          <a:off x="5862847" y="2885536"/>
          <a:ext cx="6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fr-FR"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0</xdr:colOff>
      <xdr:row>58</xdr:row>
      <xdr:rowOff>171450</xdr:rowOff>
    </xdr:from>
    <xdr:to>
      <xdr:col>10</xdr:col>
      <xdr:colOff>444500</xdr:colOff>
      <xdr:row>73</xdr:row>
      <xdr:rowOff>38100</xdr:rowOff>
    </xdr:to>
    <xdr:graphicFrame macro="">
      <xdr:nvGraphicFramePr>
        <xdr:cNvPr id="5" name="Graphique 4">
          <a:extLst>
            <a:ext uri="{FF2B5EF4-FFF2-40B4-BE49-F238E27FC236}">
              <a16:creationId xmlns:a16="http://schemas.microsoft.com/office/drawing/2014/main" id="{B36B5B5D-8361-E399-AA67-AB03B6B5B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241300</xdr:colOff>
      <xdr:row>74</xdr:row>
      <xdr:rowOff>19050</xdr:rowOff>
    </xdr:from>
    <xdr:to>
      <xdr:col>10</xdr:col>
      <xdr:colOff>685800</xdr:colOff>
      <xdr:row>87</xdr:row>
      <xdr:rowOff>120650</xdr:rowOff>
    </xdr:to>
    <xdr:graphicFrame macro="">
      <xdr:nvGraphicFramePr>
        <xdr:cNvPr id="7" name="Graphique 6">
          <a:extLst>
            <a:ext uri="{FF2B5EF4-FFF2-40B4-BE49-F238E27FC236}">
              <a16:creationId xmlns:a16="http://schemas.microsoft.com/office/drawing/2014/main" id="{0381C903-6146-3927-8D0F-14634133F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495300</xdr:colOff>
      <xdr:row>97</xdr:row>
      <xdr:rowOff>25400</xdr:rowOff>
    </xdr:from>
    <xdr:to>
      <xdr:col>8</xdr:col>
      <xdr:colOff>622300</xdr:colOff>
      <xdr:row>110</xdr:row>
      <xdr:rowOff>127000</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5BE9C5F9-D663-5B62-BE7B-6C3A4A6162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97300" y="19735800"/>
              <a:ext cx="3429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xdr:col>
      <xdr:colOff>285750</xdr:colOff>
      <xdr:row>116</xdr:row>
      <xdr:rowOff>190500</xdr:rowOff>
    </xdr:from>
    <xdr:to>
      <xdr:col>9</xdr:col>
      <xdr:colOff>412750</xdr:colOff>
      <xdr:row>130</xdr:row>
      <xdr:rowOff>88900</xdr:rowOff>
    </xdr:to>
    <mc:AlternateContent xmlns:mc="http://schemas.openxmlformats.org/markup-compatibility/2006">
      <mc:Choice xmlns:cx1="http://schemas.microsoft.com/office/drawing/2015/9/8/chartex" Requires="cx1">
        <xdr:graphicFrame macro="">
          <xdr:nvGraphicFramePr>
            <xdr:cNvPr id="7" name="Graphique 6">
              <a:extLst>
                <a:ext uri="{FF2B5EF4-FFF2-40B4-BE49-F238E27FC236}">
                  <a16:creationId xmlns:a16="http://schemas.microsoft.com/office/drawing/2014/main" id="{AB85E414-9299-F105-5E41-8B3711371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13250" y="23761700"/>
              <a:ext cx="3429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xdr:col>
      <xdr:colOff>285750</xdr:colOff>
      <xdr:row>131</xdr:row>
      <xdr:rowOff>190500</xdr:rowOff>
    </xdr:from>
    <xdr:to>
      <xdr:col>9</xdr:col>
      <xdr:colOff>412750</xdr:colOff>
      <xdr:row>145</xdr:row>
      <xdr:rowOff>88900</xdr:rowOff>
    </xdr:to>
    <mc:AlternateContent xmlns:mc="http://schemas.openxmlformats.org/markup-compatibility/2006">
      <mc:Choice xmlns:cx1="http://schemas.microsoft.com/office/drawing/2015/9/8/chartex" Requires="cx1">
        <xdr:graphicFrame macro="">
          <xdr:nvGraphicFramePr>
            <xdr:cNvPr id="8" name="Graphique 7">
              <a:extLst>
                <a:ext uri="{FF2B5EF4-FFF2-40B4-BE49-F238E27FC236}">
                  <a16:creationId xmlns:a16="http://schemas.microsoft.com/office/drawing/2014/main" id="{C6D76782-8111-C019-B2FA-E8E7BB0D9D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13250" y="26809700"/>
              <a:ext cx="3429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790265</xdr:colOff>
      <xdr:row>100</xdr:row>
      <xdr:rowOff>22882</xdr:rowOff>
    </xdr:from>
    <xdr:to>
      <xdr:col>11</xdr:col>
      <xdr:colOff>369851</xdr:colOff>
      <xdr:row>113</xdr:row>
      <xdr:rowOff>125604</xdr:rowOff>
    </xdr:to>
    <xdr:graphicFrame macro="">
      <xdr:nvGraphicFramePr>
        <xdr:cNvPr id="2" name="Graphique 1">
          <a:extLst>
            <a:ext uri="{FF2B5EF4-FFF2-40B4-BE49-F238E27FC236}">
              <a16:creationId xmlns:a16="http://schemas.microsoft.com/office/drawing/2014/main" id="{ED73162F-AE2F-F040-6B1B-6C9DEE2EC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64229</xdr:colOff>
      <xdr:row>100</xdr:row>
      <xdr:rowOff>29779</xdr:rowOff>
    </xdr:from>
    <xdr:to>
      <xdr:col>5</xdr:col>
      <xdr:colOff>475884</xdr:colOff>
      <xdr:row>113</xdr:row>
      <xdr:rowOff>116197</xdr:rowOff>
    </xdr:to>
    <xdr:graphicFrame macro="">
      <xdr:nvGraphicFramePr>
        <xdr:cNvPr id="3" name="Graphique 2">
          <a:extLst>
            <a:ext uri="{FF2B5EF4-FFF2-40B4-BE49-F238E27FC236}">
              <a16:creationId xmlns:a16="http://schemas.microsoft.com/office/drawing/2014/main" id="{64E9A4D0-56FE-8111-186E-DFA99D377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623835</xdr:colOff>
      <xdr:row>100</xdr:row>
      <xdr:rowOff>13957</xdr:rowOff>
    </xdr:from>
    <xdr:to>
      <xdr:col>19</xdr:col>
      <xdr:colOff>255396</xdr:colOff>
      <xdr:row>113</xdr:row>
      <xdr:rowOff>143468</xdr:rowOff>
    </xdr:to>
    <xdr:graphicFrame macro="">
      <xdr:nvGraphicFramePr>
        <xdr:cNvPr id="4" name="Graphique 3">
          <a:extLst>
            <a:ext uri="{FF2B5EF4-FFF2-40B4-BE49-F238E27FC236}">
              <a16:creationId xmlns:a16="http://schemas.microsoft.com/office/drawing/2014/main" id="{F0D826AF-B2B7-7103-99A3-E64152BD7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136072</xdr:colOff>
      <xdr:row>79</xdr:row>
      <xdr:rowOff>15118</xdr:rowOff>
    </xdr:from>
    <xdr:to>
      <xdr:col>31</xdr:col>
      <xdr:colOff>562428</xdr:colOff>
      <xdr:row>93</xdr:row>
      <xdr:rowOff>2742</xdr:rowOff>
    </xdr:to>
    <xdr:graphicFrame macro="">
      <xdr:nvGraphicFramePr>
        <xdr:cNvPr id="5" name="Graphique 4">
          <a:extLst>
            <a:ext uri="{FF2B5EF4-FFF2-40B4-BE49-F238E27FC236}">
              <a16:creationId xmlns:a16="http://schemas.microsoft.com/office/drawing/2014/main" id="{3133E0E8-B1ED-6A54-DAC1-756E517EF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23888</xdr:colOff>
      <xdr:row>73</xdr:row>
      <xdr:rowOff>52312</xdr:rowOff>
    </xdr:from>
    <xdr:to>
      <xdr:col>46</xdr:col>
      <xdr:colOff>438150</xdr:colOff>
      <xdr:row>87</xdr:row>
      <xdr:rowOff>43845</xdr:rowOff>
    </xdr:to>
    <xdr:graphicFrame macro="">
      <xdr:nvGraphicFramePr>
        <xdr:cNvPr id="6" name="Graphique 5">
          <a:extLst>
            <a:ext uri="{FF2B5EF4-FFF2-40B4-BE49-F238E27FC236}">
              <a16:creationId xmlns:a16="http://schemas.microsoft.com/office/drawing/2014/main" id="{4D56A9F5-37C2-55B0-2263-8D8496DAB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823383</xdr:colOff>
      <xdr:row>88</xdr:row>
      <xdr:rowOff>10584</xdr:rowOff>
    </xdr:from>
    <xdr:to>
      <xdr:col>46</xdr:col>
      <xdr:colOff>412145</xdr:colOff>
      <xdr:row>102</xdr:row>
      <xdr:rowOff>2117</xdr:rowOff>
    </xdr:to>
    <xdr:graphicFrame macro="">
      <xdr:nvGraphicFramePr>
        <xdr:cNvPr id="7" name="Graphique 6">
          <a:extLst>
            <a:ext uri="{FF2B5EF4-FFF2-40B4-BE49-F238E27FC236}">
              <a16:creationId xmlns:a16="http://schemas.microsoft.com/office/drawing/2014/main" id="{CD954A01-D712-D92D-A3F5-844A8B9D5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63500</xdr:colOff>
      <xdr:row>200</xdr:row>
      <xdr:rowOff>152400</xdr:rowOff>
    </xdr:from>
    <xdr:to>
      <xdr:col>19</xdr:col>
      <xdr:colOff>508000</xdr:colOff>
      <xdr:row>214</xdr:row>
      <xdr:rowOff>50800</xdr:rowOff>
    </xdr:to>
    <mc:AlternateContent xmlns:mc="http://schemas.openxmlformats.org/markup-compatibility/2006">
      <mc:Choice xmlns:cx1="http://schemas.microsoft.com/office/drawing/2015/9/8/chartex" Requires="cx1">
        <xdr:graphicFrame macro="">
          <xdr:nvGraphicFramePr>
            <xdr:cNvPr id="15" name="Graphique 14">
              <a:extLst>
                <a:ext uri="{FF2B5EF4-FFF2-40B4-BE49-F238E27FC236}">
                  <a16:creationId xmlns:a16="http://schemas.microsoft.com/office/drawing/2014/main" id="{3AAC352E-C7DB-88DF-E99A-AD9B676897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620500" y="40792400"/>
              <a:ext cx="4572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25</xdr:col>
      <xdr:colOff>774700</xdr:colOff>
      <xdr:row>200</xdr:row>
      <xdr:rowOff>165100</xdr:rowOff>
    </xdr:from>
    <xdr:to>
      <xdr:col>31</xdr:col>
      <xdr:colOff>393700</xdr:colOff>
      <xdr:row>214</xdr:row>
      <xdr:rowOff>63500</xdr:rowOff>
    </xdr:to>
    <mc:AlternateContent xmlns:mc="http://schemas.openxmlformats.org/markup-compatibility/2006">
      <mc:Choice xmlns:cx1="http://schemas.microsoft.com/office/drawing/2015/9/8/chartex" Requires="cx1">
        <xdr:graphicFrame macro="">
          <xdr:nvGraphicFramePr>
            <xdr:cNvPr id="17" name="Graphique 16">
              <a:extLst>
                <a:ext uri="{FF2B5EF4-FFF2-40B4-BE49-F238E27FC236}">
                  <a16:creationId xmlns:a16="http://schemas.microsoft.com/office/drawing/2014/main" id="{9793E633-CEC6-5C35-586E-C8B22A02C3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1412200" y="40805100"/>
              <a:ext cx="4572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0</xdr:col>
      <xdr:colOff>399361</xdr:colOff>
      <xdr:row>200</xdr:row>
      <xdr:rowOff>189122</xdr:rowOff>
    </xdr:from>
    <xdr:to>
      <xdr:col>6</xdr:col>
      <xdr:colOff>13771</xdr:colOff>
      <xdr:row>214</xdr:row>
      <xdr:rowOff>147503</xdr:rowOff>
    </xdr:to>
    <mc:AlternateContent xmlns:mc="http://schemas.openxmlformats.org/markup-compatibility/2006">
      <mc:Choice xmlns:cx1="http://schemas.microsoft.com/office/drawing/2015/9/8/chartex" Requires="cx1">
        <xdr:graphicFrame macro="">
          <xdr:nvGraphicFramePr>
            <xdr:cNvPr id="18" name="Graphique 17">
              <a:extLst>
                <a:ext uri="{FF2B5EF4-FFF2-40B4-BE49-F238E27FC236}">
                  <a16:creationId xmlns:a16="http://schemas.microsoft.com/office/drawing/2014/main" id="{5A20F8A4-08DC-87F9-186B-FBD477247B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99361" y="40829122"/>
              <a:ext cx="4567410" cy="2803181"/>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28</xdr:col>
      <xdr:colOff>424275</xdr:colOff>
      <xdr:row>69</xdr:row>
      <xdr:rowOff>76200</xdr:rowOff>
    </xdr:from>
    <xdr:to>
      <xdr:col>36</xdr:col>
      <xdr:colOff>358423</xdr:colOff>
      <xdr:row>89</xdr:row>
      <xdr:rowOff>113986</xdr:rowOff>
    </xdr:to>
    <xdr:graphicFrame macro="">
      <xdr:nvGraphicFramePr>
        <xdr:cNvPr id="2" name="Graphique 1">
          <a:extLst>
            <a:ext uri="{FF2B5EF4-FFF2-40B4-BE49-F238E27FC236}">
              <a16:creationId xmlns:a16="http://schemas.microsoft.com/office/drawing/2014/main" id="{451EB92A-A420-39E2-920B-43DFB507E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73</xdr:row>
      <xdr:rowOff>76200</xdr:rowOff>
    </xdr:from>
    <xdr:to>
      <xdr:col>5</xdr:col>
      <xdr:colOff>596900</xdr:colOff>
      <xdr:row>86</xdr:row>
      <xdr:rowOff>177800</xdr:rowOff>
    </xdr:to>
    <xdr:graphicFrame macro="">
      <xdr:nvGraphicFramePr>
        <xdr:cNvPr id="3" name="Graphique 2">
          <a:extLst>
            <a:ext uri="{FF2B5EF4-FFF2-40B4-BE49-F238E27FC236}">
              <a16:creationId xmlns:a16="http://schemas.microsoft.com/office/drawing/2014/main" id="{E281FCA7-B46A-D53F-E1B2-84446C3B7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806450</xdr:colOff>
      <xdr:row>73</xdr:row>
      <xdr:rowOff>38100</xdr:rowOff>
    </xdr:from>
    <xdr:to>
      <xdr:col>11</xdr:col>
      <xdr:colOff>425450</xdr:colOff>
      <xdr:row>86</xdr:row>
      <xdr:rowOff>139700</xdr:rowOff>
    </xdr:to>
    <xdr:graphicFrame macro="">
      <xdr:nvGraphicFramePr>
        <xdr:cNvPr id="4" name="Graphique 3">
          <a:extLst>
            <a:ext uri="{FF2B5EF4-FFF2-40B4-BE49-F238E27FC236}">
              <a16:creationId xmlns:a16="http://schemas.microsoft.com/office/drawing/2014/main" id="{A8617715-D8C1-3876-3D66-CE63C5CD8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819150</xdr:colOff>
      <xdr:row>73</xdr:row>
      <xdr:rowOff>12700</xdr:rowOff>
    </xdr:from>
    <xdr:to>
      <xdr:col>18</xdr:col>
      <xdr:colOff>438150</xdr:colOff>
      <xdr:row>86</xdr:row>
      <xdr:rowOff>114300</xdr:rowOff>
    </xdr:to>
    <xdr:graphicFrame macro="">
      <xdr:nvGraphicFramePr>
        <xdr:cNvPr id="5" name="Graphique 4">
          <a:extLst>
            <a:ext uri="{FF2B5EF4-FFF2-40B4-BE49-F238E27FC236}">
              <a16:creationId xmlns:a16="http://schemas.microsoft.com/office/drawing/2014/main" id="{143F3496-D891-D647-BC61-CDCCE30C5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190500</xdr:colOff>
      <xdr:row>150</xdr:row>
      <xdr:rowOff>165100</xdr:rowOff>
    </xdr:from>
    <xdr:to>
      <xdr:col>6</xdr:col>
      <xdr:colOff>635000</xdr:colOff>
      <xdr:row>164</xdr:row>
      <xdr:rowOff>63500</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2FA1C45B-4B3A-7B65-B2CB-BC639B8ABD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16000" y="30657800"/>
              <a:ext cx="4572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8</xdr:col>
      <xdr:colOff>0</xdr:colOff>
      <xdr:row>150</xdr:row>
      <xdr:rowOff>88900</xdr:rowOff>
    </xdr:from>
    <xdr:to>
      <xdr:col>13</xdr:col>
      <xdr:colOff>444500</xdr:colOff>
      <xdr:row>163</xdr:row>
      <xdr:rowOff>190500</xdr:rowOff>
    </xdr:to>
    <mc:AlternateContent xmlns:mc="http://schemas.openxmlformats.org/markup-compatibility/2006">
      <mc:Choice xmlns:cx1="http://schemas.microsoft.com/office/drawing/2015/9/8/chartex" Requires="cx1">
        <xdr:graphicFrame macro="">
          <xdr:nvGraphicFramePr>
            <xdr:cNvPr id="7" name="Graphique 6">
              <a:extLst>
                <a:ext uri="{FF2B5EF4-FFF2-40B4-BE49-F238E27FC236}">
                  <a16:creationId xmlns:a16="http://schemas.microsoft.com/office/drawing/2014/main" id="{69DFA37D-5314-F6E9-7AFF-81F9F90206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04000" y="30581600"/>
              <a:ext cx="4572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13</xdr:col>
      <xdr:colOff>736600</xdr:colOff>
      <xdr:row>150</xdr:row>
      <xdr:rowOff>127000</xdr:rowOff>
    </xdr:from>
    <xdr:to>
      <xdr:col>19</xdr:col>
      <xdr:colOff>355600</xdr:colOff>
      <xdr:row>164</xdr:row>
      <xdr:rowOff>25400</xdr:rowOff>
    </xdr:to>
    <mc:AlternateContent xmlns:mc="http://schemas.openxmlformats.org/markup-compatibility/2006">
      <mc:Choice xmlns:cx1="http://schemas.microsoft.com/office/drawing/2015/9/8/chartex" Requires="cx1">
        <xdr:graphicFrame macro="">
          <xdr:nvGraphicFramePr>
            <xdr:cNvPr id="8" name="Graphique 7">
              <a:extLst>
                <a:ext uri="{FF2B5EF4-FFF2-40B4-BE49-F238E27FC236}">
                  <a16:creationId xmlns:a16="http://schemas.microsoft.com/office/drawing/2014/main" id="{4CACFD4B-DED5-FA02-F8EB-842AEC9698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468100" y="30619700"/>
              <a:ext cx="4572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E92202-C1BE-F14E-9253-F92824BCABB7}" name="Tableau1" displayName="Tableau1" ref="A68:D76" totalsRowShown="0" headerRowDxfId="3">
  <autoFilter ref="A68:D76" xr:uid="{9EE92202-C1BE-F14E-9253-F92824BCABB7}"/>
  <tableColumns count="4">
    <tableColumn id="1" xr3:uid="{02737473-0815-5247-AE02-639C4F0799E3}" name="LLM"/>
    <tableColumn id="2" xr3:uid="{5A358693-FFEB-9B48-B84B-A772B08D8D7A}" name="Readiness Standard dev," dataDxfId="2"/>
    <tableColumn id="3" xr3:uid="{9AC30949-0C39-C042-852B-E0D8DA75A272}" name="Navigation Standard dev," dataDxfId="1"/>
    <tableColumn id="4" xr3:uid="{9DD45AD6-62A7-384F-8B8B-64BCF084E3AB}" name="Assertion Standard dev,"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pass@1" TargetMode="External"/><Relationship Id="rId7" Type="http://schemas.openxmlformats.org/officeDocument/2006/relationships/drawing" Target="../drawings/drawing3.xml"/><Relationship Id="rId2" Type="http://schemas.openxmlformats.org/officeDocument/2006/relationships/hyperlink" Target="mailto:pass@1" TargetMode="External"/><Relationship Id="rId1" Type="http://schemas.openxmlformats.org/officeDocument/2006/relationships/hyperlink" Target="mailto:pass@1" TargetMode="External"/><Relationship Id="rId6" Type="http://schemas.openxmlformats.org/officeDocument/2006/relationships/hyperlink" Target="mailto:pass@*" TargetMode="External"/><Relationship Id="rId5" Type="http://schemas.openxmlformats.org/officeDocument/2006/relationships/hyperlink" Target="mailto:pass@1" TargetMode="External"/><Relationship Id="rId4" Type="http://schemas.openxmlformats.org/officeDocument/2006/relationships/hyperlink" Target="mailto:pas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838ED-82C9-E442-BDC2-8DD201F88CA8}">
  <dimension ref="A1:CA76"/>
  <sheetViews>
    <sheetView zoomScaleNormal="116" workbookViewId="0">
      <selection activeCell="B1" sqref="B1:D1"/>
    </sheetView>
  </sheetViews>
  <sheetFormatPr baseColWidth="10" defaultRowHeight="16" x14ac:dyDescent="0.2"/>
  <cols>
    <col min="2" max="2" width="24.83203125" customWidth="1"/>
    <col min="3" max="3" width="25.1640625" customWidth="1"/>
    <col min="4" max="4" width="24.33203125" customWidth="1"/>
  </cols>
  <sheetData>
    <row r="1" spans="1:79" x14ac:dyDescent="0.2">
      <c r="B1" s="50" t="s">
        <v>305</v>
      </c>
      <c r="C1" s="14" t="s">
        <v>304</v>
      </c>
      <c r="D1" s="14" t="s">
        <v>303</v>
      </c>
      <c r="E1" s="2" t="s">
        <v>1</v>
      </c>
      <c r="F1" s="2" t="s">
        <v>0</v>
      </c>
      <c r="G1" s="2" t="s">
        <v>2</v>
      </c>
      <c r="J1" s="50" t="s">
        <v>305</v>
      </c>
      <c r="K1" s="14" t="s">
        <v>304</v>
      </c>
      <c r="L1" s="14" t="s">
        <v>303</v>
      </c>
      <c r="M1" s="2" t="s">
        <v>1</v>
      </c>
      <c r="N1" s="2" t="s">
        <v>0</v>
      </c>
      <c r="O1" s="2" t="s">
        <v>2</v>
      </c>
      <c r="R1" s="2" t="s">
        <v>78</v>
      </c>
      <c r="S1" s="2" t="s">
        <v>80</v>
      </c>
      <c r="T1" s="2" t="s">
        <v>79</v>
      </c>
      <c r="U1" s="2" t="s">
        <v>1</v>
      </c>
      <c r="V1" s="2" t="s">
        <v>0</v>
      </c>
      <c r="W1" s="2" t="s">
        <v>2</v>
      </c>
      <c r="Z1" s="2" t="s">
        <v>78</v>
      </c>
      <c r="AA1" s="2" t="s">
        <v>80</v>
      </c>
      <c r="AB1" s="2" t="s">
        <v>79</v>
      </c>
      <c r="AC1" s="2" t="s">
        <v>1</v>
      </c>
      <c r="AD1" s="2" t="s">
        <v>0</v>
      </c>
      <c r="AE1" s="2" t="s">
        <v>2</v>
      </c>
      <c r="AH1" s="2" t="s">
        <v>78</v>
      </c>
      <c r="AI1" s="2" t="s">
        <v>80</v>
      </c>
      <c r="AJ1" s="2" t="s">
        <v>79</v>
      </c>
      <c r="AK1" s="2" t="s">
        <v>1</v>
      </c>
      <c r="AL1" s="2" t="s">
        <v>0</v>
      </c>
      <c r="AM1" s="2" t="s">
        <v>2</v>
      </c>
      <c r="AP1" s="2" t="s">
        <v>78</v>
      </c>
      <c r="AQ1" s="2" t="s">
        <v>80</v>
      </c>
      <c r="AR1" s="2" t="s">
        <v>79</v>
      </c>
      <c r="AS1" s="2" t="s">
        <v>1</v>
      </c>
      <c r="AT1" s="2" t="s">
        <v>0</v>
      </c>
      <c r="AU1" s="2" t="s">
        <v>2</v>
      </c>
      <c r="AX1" s="2" t="s">
        <v>78</v>
      </c>
      <c r="AY1" s="2" t="s">
        <v>80</v>
      </c>
      <c r="AZ1" s="2" t="s">
        <v>79</v>
      </c>
      <c r="BA1" s="2" t="s">
        <v>1</v>
      </c>
      <c r="BB1" s="2" t="s">
        <v>0</v>
      </c>
      <c r="BC1" s="2" t="s">
        <v>2</v>
      </c>
      <c r="BF1" s="50" t="s">
        <v>305</v>
      </c>
      <c r="BG1" s="14" t="s">
        <v>304</v>
      </c>
      <c r="BH1" s="14" t="s">
        <v>303</v>
      </c>
      <c r="BI1" s="2" t="s">
        <v>1</v>
      </c>
      <c r="BJ1" s="2" t="s">
        <v>0</v>
      </c>
      <c r="BK1" s="2" t="s">
        <v>2</v>
      </c>
      <c r="BN1" s="2" t="s">
        <v>78</v>
      </c>
      <c r="BO1" s="2" t="s">
        <v>80</v>
      </c>
      <c r="BP1" s="2" t="s">
        <v>79</v>
      </c>
      <c r="BQ1" s="2" t="s">
        <v>1</v>
      </c>
      <c r="BR1" s="2" t="s">
        <v>0</v>
      </c>
      <c r="BS1" s="2" t="s">
        <v>2</v>
      </c>
      <c r="BV1" s="2" t="s">
        <v>78</v>
      </c>
      <c r="BW1" s="2" t="s">
        <v>80</v>
      </c>
      <c r="BX1" s="2" t="s">
        <v>79</v>
      </c>
      <c r="BY1" s="2" t="s">
        <v>1</v>
      </c>
      <c r="BZ1" s="2" t="s">
        <v>0</v>
      </c>
      <c r="CA1" s="2" t="s">
        <v>2</v>
      </c>
    </row>
    <row r="2" spans="1:79" x14ac:dyDescent="0.2">
      <c r="A2" t="s">
        <v>172</v>
      </c>
      <c r="B2">
        <v>0.93</v>
      </c>
      <c r="C2">
        <v>1</v>
      </c>
      <c r="D2">
        <v>0.95</v>
      </c>
      <c r="E2">
        <f>SQRT($B2*(1-$B2))</f>
        <v>0.25514701644346138</v>
      </c>
      <c r="F2">
        <f>SQRT($C2*(1-$C2))</f>
        <v>0</v>
      </c>
      <c r="G2">
        <f>SQRT($D2*(1-$D2))</f>
        <v>0.21794494717703378</v>
      </c>
      <c r="I2" t="s">
        <v>171</v>
      </c>
      <c r="J2">
        <v>1</v>
      </c>
      <c r="K2">
        <v>1</v>
      </c>
      <c r="L2">
        <v>1</v>
      </c>
      <c r="M2">
        <f>SQRT($J2*(1-$J2))</f>
        <v>0</v>
      </c>
      <c r="N2">
        <f>SQRT($K2*(1-$K2))</f>
        <v>0</v>
      </c>
      <c r="O2">
        <f>SQRT($L2*(1-$L2))</f>
        <v>0</v>
      </c>
      <c r="Q2" t="s">
        <v>4</v>
      </c>
      <c r="R2">
        <v>0.9</v>
      </c>
      <c r="S2" t="s">
        <v>3</v>
      </c>
      <c r="T2">
        <v>0.95</v>
      </c>
      <c r="U2">
        <f>SQRT($R2*(1-$R2))</f>
        <v>0.3</v>
      </c>
      <c r="V2" t="e">
        <f>SQRT($S2*(1-$S2))</f>
        <v>#VALUE!</v>
      </c>
      <c r="W2">
        <f>SQRT($T2*(1-$T2))</f>
        <v>0.21794494717703378</v>
      </c>
      <c r="Y2" t="s">
        <v>173</v>
      </c>
      <c r="Z2">
        <v>1</v>
      </c>
      <c r="AA2">
        <v>1</v>
      </c>
      <c r="AB2">
        <v>1</v>
      </c>
      <c r="AC2">
        <f>SQRT($R2*(1-$R2))</f>
        <v>0.3</v>
      </c>
      <c r="AD2" t="e">
        <f>SQRT($S2*(1-$S2))</f>
        <v>#VALUE!</v>
      </c>
      <c r="AE2">
        <f>SQRT($T2*(1-$T2))</f>
        <v>0.21794494717703378</v>
      </c>
      <c r="AG2" t="s">
        <v>5</v>
      </c>
      <c r="AH2">
        <v>1</v>
      </c>
      <c r="AI2">
        <v>1</v>
      </c>
      <c r="AJ2">
        <v>1</v>
      </c>
      <c r="AK2">
        <f>SQRT($AH2*(1-$AH2))</f>
        <v>0</v>
      </c>
      <c r="AL2">
        <f>SQRT($AI2*(1-$AI2))</f>
        <v>0</v>
      </c>
      <c r="AM2">
        <f>SQRT($AJ2*(1-$AJ2))</f>
        <v>0</v>
      </c>
      <c r="AO2" t="s">
        <v>6</v>
      </c>
      <c r="AP2">
        <v>0.9</v>
      </c>
      <c r="AQ2">
        <v>1</v>
      </c>
      <c r="AR2">
        <v>0.8</v>
      </c>
      <c r="AS2">
        <f>SQRT($AP2*(1-$AP2))</f>
        <v>0.3</v>
      </c>
      <c r="AT2">
        <f>SQRT($AQ2*(1-$AQ2))</f>
        <v>0</v>
      </c>
      <c r="AU2">
        <f>SQRT($AR2*(1-$AR2))</f>
        <v>0.39999999999999997</v>
      </c>
      <c r="AW2" t="s">
        <v>15</v>
      </c>
      <c r="AX2">
        <v>0.83</v>
      </c>
      <c r="AY2">
        <v>1</v>
      </c>
      <c r="AZ2">
        <v>1</v>
      </c>
      <c r="BA2">
        <f>SQRT($AX2*(1-$AX2))</f>
        <v>0.375632799419859</v>
      </c>
      <c r="BB2">
        <f>SQRT($AY2*(1-$AY2))</f>
        <v>0</v>
      </c>
      <c r="BC2">
        <f>SQRT($AZ2*(1-$AZ2))</f>
        <v>0</v>
      </c>
      <c r="BE2" t="s">
        <v>20</v>
      </c>
      <c r="BF2">
        <v>1</v>
      </c>
      <c r="BG2">
        <v>1</v>
      </c>
      <c r="BH2">
        <v>0.85</v>
      </c>
      <c r="BI2">
        <f>SQRT($BF2*(1-$BF2))</f>
        <v>0</v>
      </c>
      <c r="BJ2">
        <f>SQRT($BG2*(1-$BG2))</f>
        <v>0</v>
      </c>
      <c r="BK2">
        <f>SQRT($BH2*(1-$BH2))</f>
        <v>0.35707142142714249</v>
      </c>
      <c r="BM2" t="s">
        <v>175</v>
      </c>
      <c r="BN2">
        <v>0.85</v>
      </c>
      <c r="BO2">
        <v>1</v>
      </c>
      <c r="BP2">
        <v>0.95</v>
      </c>
      <c r="BQ2">
        <f>SQRT($BN2*(1-$BN2))</f>
        <v>0.35707142142714249</v>
      </c>
      <c r="BR2">
        <f>SQRT($BQ2*(1-$BQ2))</f>
        <v>0.47913611993580957</v>
      </c>
      <c r="BS2">
        <f>SQRT($BP2*(1-$BP2))</f>
        <v>0.21794494717703378</v>
      </c>
      <c r="BU2" t="s">
        <v>98</v>
      </c>
    </row>
    <row r="3" spans="1:79" x14ac:dyDescent="0.2">
      <c r="A3" s="4">
        <v>45536</v>
      </c>
      <c r="B3">
        <v>1</v>
      </c>
      <c r="C3">
        <v>1</v>
      </c>
      <c r="D3">
        <v>1</v>
      </c>
      <c r="E3">
        <f t="shared" ref="E3:E15" si="0">SQRT($B3*(1-$B3))</f>
        <v>0</v>
      </c>
      <c r="F3">
        <f t="shared" ref="F3:F15" si="1">SQRT($C3*(1-$C3))</f>
        <v>0</v>
      </c>
      <c r="G3">
        <f t="shared" ref="G3:G15" si="2">SQRT($D3*(1-$D3))</f>
        <v>0</v>
      </c>
      <c r="I3" s="4">
        <v>45597</v>
      </c>
      <c r="J3">
        <v>1</v>
      </c>
      <c r="K3">
        <v>1</v>
      </c>
      <c r="L3">
        <v>1</v>
      </c>
      <c r="M3">
        <f t="shared" ref="M3:M44" si="3">SQRT($J3*(1-$J3))</f>
        <v>0</v>
      </c>
      <c r="N3">
        <f t="shared" ref="N3:N15" si="4">SQRT($K3*(1-$K3))</f>
        <v>0</v>
      </c>
      <c r="O3">
        <f t="shared" ref="O3:O15" si="5">SQRT($L3*(1-$L3))</f>
        <v>0</v>
      </c>
      <c r="R3">
        <v>0.9</v>
      </c>
      <c r="S3" t="s">
        <v>3</v>
      </c>
      <c r="T3">
        <v>1</v>
      </c>
      <c r="U3">
        <f t="shared" ref="U3:U5" si="6">SQRT($R3*(1-$R3))</f>
        <v>0.3</v>
      </c>
      <c r="V3" t="e">
        <f t="shared" ref="V3:V15" si="7">SQRT($S3*(1-$S3))</f>
        <v>#VALUE!</v>
      </c>
      <c r="W3">
        <f t="shared" ref="W3:W44" si="8">SQRT($T3*(1-$T3))</f>
        <v>0</v>
      </c>
      <c r="AA3" t="s">
        <v>3</v>
      </c>
      <c r="AC3">
        <f t="shared" ref="AC3:AC15" si="9">SQRT($R3*(1-$R3))</f>
        <v>0.3</v>
      </c>
      <c r="AD3" t="e">
        <f t="shared" ref="AD3:AD15" si="10">SQRT($S3*(1-$S3))</f>
        <v>#VALUE!</v>
      </c>
      <c r="AE3">
        <f t="shared" ref="AE3:AE44" si="11">SQRT($T3*(1-$T3))</f>
        <v>0</v>
      </c>
      <c r="AG3" s="4">
        <v>45505</v>
      </c>
      <c r="AH3">
        <v>0.72</v>
      </c>
      <c r="AI3">
        <v>0.68</v>
      </c>
      <c r="AJ3">
        <v>0</v>
      </c>
      <c r="AK3">
        <f t="shared" ref="AK3:AK15" si="12">SQRT($AH3*(1-$AH3))</f>
        <v>0.44899888641287294</v>
      </c>
      <c r="AL3">
        <f t="shared" ref="AL3:AL15" si="13">SQRT($AI3*(1-$AI3))</f>
        <v>0.46647615158762401</v>
      </c>
      <c r="AM3">
        <f t="shared" ref="AM3:AM44" si="14">SQRT($AJ3*(1-$AJ3))</f>
        <v>0</v>
      </c>
      <c r="AO3" t="s">
        <v>176</v>
      </c>
      <c r="AP3">
        <v>1</v>
      </c>
      <c r="AQ3">
        <v>1</v>
      </c>
      <c r="AR3">
        <v>1</v>
      </c>
      <c r="AS3">
        <f t="shared" ref="AS3:AS15" si="15">SQRT($AP3*(1-$AP3))</f>
        <v>0</v>
      </c>
      <c r="AT3">
        <f t="shared" ref="AT3:AT15" si="16">SQRT($AQ3*(1-$AQ3))</f>
        <v>0</v>
      </c>
      <c r="AU3">
        <f t="shared" ref="AU3:AU44" si="17">SQRT($AR3*(1-$AR3))</f>
        <v>0</v>
      </c>
      <c r="AW3" t="s">
        <v>16</v>
      </c>
      <c r="AX3">
        <v>0.78</v>
      </c>
      <c r="AY3">
        <v>1</v>
      </c>
      <c r="AZ3">
        <v>0.9</v>
      </c>
      <c r="BA3">
        <f t="shared" ref="BA3:BA15" si="18">SQRT($AX3*(1-$AX3))</f>
        <v>0.41424630354415953</v>
      </c>
      <c r="BB3">
        <f t="shared" ref="BB3:BB15" si="19">SQRT($AY3*(1-$AY3))</f>
        <v>0</v>
      </c>
      <c r="BC3">
        <f t="shared" ref="BC3:BC44" si="20">SQRT($AZ3*(1-$AZ3))</f>
        <v>0.3</v>
      </c>
      <c r="BE3" s="4" t="s">
        <v>18</v>
      </c>
      <c r="BF3">
        <v>1</v>
      </c>
      <c r="BG3">
        <v>1</v>
      </c>
      <c r="BH3">
        <v>0.1</v>
      </c>
      <c r="BI3">
        <f t="shared" ref="BI3:BI15" si="21">SQRT($BF3*(1-$BF3))</f>
        <v>0</v>
      </c>
      <c r="BJ3">
        <f t="shared" ref="BJ3:BJ15" si="22">SQRT($BG3*(1-$BG3))</f>
        <v>0</v>
      </c>
      <c r="BK3">
        <f t="shared" ref="BK3:BK44" si="23">SQRT($BH3*(1-$BH3))</f>
        <v>0.30000000000000004</v>
      </c>
      <c r="BM3" s="4" t="s">
        <v>18</v>
      </c>
      <c r="BN3">
        <v>0.98</v>
      </c>
      <c r="BO3">
        <v>1</v>
      </c>
      <c r="BP3">
        <v>1</v>
      </c>
      <c r="BQ3">
        <f t="shared" ref="BQ3:BQ15" si="24">SQRT($BN3*(1-$BN3))</f>
        <v>0.14000000000000007</v>
      </c>
      <c r="BR3">
        <f t="shared" ref="BR3:BR15" si="25">SQRT($BQ3*(1-$BQ3))</f>
        <v>0.34698703145794951</v>
      </c>
      <c r="BS3">
        <f t="shared" ref="BS3:BS43" si="26">SQRT($BP3*(1-$BP3))</f>
        <v>0</v>
      </c>
    </row>
    <row r="4" spans="1:79" x14ac:dyDescent="0.2">
      <c r="B4">
        <v>1</v>
      </c>
      <c r="C4">
        <v>1</v>
      </c>
      <c r="D4">
        <v>1</v>
      </c>
      <c r="E4">
        <f t="shared" si="0"/>
        <v>0</v>
      </c>
      <c r="F4">
        <f t="shared" si="1"/>
        <v>0</v>
      </c>
      <c r="G4">
        <f t="shared" si="2"/>
        <v>0</v>
      </c>
      <c r="J4">
        <v>1</v>
      </c>
      <c r="K4">
        <v>1</v>
      </c>
      <c r="L4">
        <v>1</v>
      </c>
      <c r="M4">
        <f t="shared" si="3"/>
        <v>0</v>
      </c>
      <c r="N4">
        <f t="shared" si="4"/>
        <v>0</v>
      </c>
      <c r="O4">
        <f t="shared" si="5"/>
        <v>0</v>
      </c>
      <c r="R4">
        <v>1</v>
      </c>
      <c r="S4" t="s">
        <v>3</v>
      </c>
      <c r="T4">
        <v>1</v>
      </c>
      <c r="U4">
        <f t="shared" si="6"/>
        <v>0</v>
      </c>
      <c r="V4" t="e">
        <f t="shared" si="7"/>
        <v>#VALUE!</v>
      </c>
      <c r="W4">
        <f t="shared" si="8"/>
        <v>0</v>
      </c>
      <c r="AA4" t="s">
        <v>3</v>
      </c>
      <c r="AC4">
        <f t="shared" si="9"/>
        <v>0</v>
      </c>
      <c r="AD4" t="e">
        <f t="shared" si="10"/>
        <v>#VALUE!</v>
      </c>
      <c r="AE4">
        <f t="shared" si="11"/>
        <v>0</v>
      </c>
      <c r="AH4">
        <v>0.95</v>
      </c>
      <c r="AI4">
        <v>1</v>
      </c>
      <c r="AJ4">
        <v>0.46</v>
      </c>
      <c r="AK4">
        <f t="shared" si="12"/>
        <v>0.21794494717703378</v>
      </c>
      <c r="AL4">
        <f t="shared" si="13"/>
        <v>0</v>
      </c>
      <c r="AM4">
        <f t="shared" si="14"/>
        <v>0.49839743177508455</v>
      </c>
      <c r="AO4" s="4">
        <v>45809</v>
      </c>
      <c r="AP4">
        <v>1</v>
      </c>
      <c r="AQ4">
        <v>1</v>
      </c>
      <c r="AR4">
        <v>1</v>
      </c>
      <c r="AS4">
        <f t="shared" si="15"/>
        <v>0</v>
      </c>
      <c r="AT4">
        <f t="shared" si="16"/>
        <v>0</v>
      </c>
      <c r="AU4">
        <f t="shared" si="17"/>
        <v>0</v>
      </c>
      <c r="AW4" s="4">
        <v>45809</v>
      </c>
      <c r="AX4">
        <v>1</v>
      </c>
      <c r="AY4">
        <v>1</v>
      </c>
      <c r="AZ4">
        <v>1</v>
      </c>
      <c r="BA4">
        <f t="shared" si="18"/>
        <v>0</v>
      </c>
      <c r="BB4">
        <f t="shared" si="19"/>
        <v>0</v>
      </c>
      <c r="BC4">
        <f t="shared" si="20"/>
        <v>0</v>
      </c>
      <c r="BF4">
        <v>1</v>
      </c>
      <c r="BG4">
        <v>1</v>
      </c>
      <c r="BH4">
        <v>1</v>
      </c>
      <c r="BI4">
        <f t="shared" si="21"/>
        <v>0</v>
      </c>
      <c r="BJ4">
        <f t="shared" si="22"/>
        <v>0</v>
      </c>
      <c r="BK4">
        <f t="shared" si="23"/>
        <v>0</v>
      </c>
      <c r="BM4" t="s">
        <v>38</v>
      </c>
      <c r="BN4">
        <v>1</v>
      </c>
      <c r="BO4">
        <v>1</v>
      </c>
      <c r="BP4">
        <v>1</v>
      </c>
      <c r="BQ4">
        <f t="shared" si="24"/>
        <v>0</v>
      </c>
      <c r="BR4">
        <f t="shared" si="25"/>
        <v>0</v>
      </c>
      <c r="BS4">
        <f t="shared" si="26"/>
        <v>0</v>
      </c>
    </row>
    <row r="5" spans="1:79" x14ac:dyDescent="0.2">
      <c r="B5">
        <v>1</v>
      </c>
      <c r="C5">
        <v>1</v>
      </c>
      <c r="D5">
        <v>1</v>
      </c>
      <c r="E5">
        <f t="shared" si="0"/>
        <v>0</v>
      </c>
      <c r="F5">
        <f t="shared" si="1"/>
        <v>0</v>
      </c>
      <c r="G5">
        <f t="shared" si="2"/>
        <v>0</v>
      </c>
      <c r="J5">
        <v>0.95</v>
      </c>
      <c r="K5">
        <v>0.99</v>
      </c>
      <c r="L5">
        <v>1</v>
      </c>
      <c r="M5">
        <f t="shared" si="3"/>
        <v>0.21794494717703378</v>
      </c>
      <c r="N5">
        <f t="shared" si="4"/>
        <v>9.9498743710662044E-2</v>
      </c>
      <c r="O5">
        <f t="shared" si="5"/>
        <v>0</v>
      </c>
      <c r="R5">
        <v>0.93</v>
      </c>
      <c r="S5" t="s">
        <v>3</v>
      </c>
      <c r="T5">
        <v>1</v>
      </c>
      <c r="U5">
        <f t="shared" si="6"/>
        <v>0.25514701644346138</v>
      </c>
      <c r="V5" t="e">
        <f t="shared" si="7"/>
        <v>#VALUE!</v>
      </c>
      <c r="W5">
        <f t="shared" si="8"/>
        <v>0</v>
      </c>
      <c r="AA5" t="s">
        <v>3</v>
      </c>
      <c r="AC5">
        <f t="shared" si="9"/>
        <v>0.25514701644346138</v>
      </c>
      <c r="AD5" t="e">
        <f t="shared" si="10"/>
        <v>#VALUE!</v>
      </c>
      <c r="AE5">
        <f t="shared" si="11"/>
        <v>0</v>
      </c>
      <c r="AH5">
        <v>0.93</v>
      </c>
      <c r="AI5">
        <v>0.67</v>
      </c>
      <c r="AJ5">
        <v>0</v>
      </c>
      <c r="AK5">
        <f t="shared" si="12"/>
        <v>0.25514701644346138</v>
      </c>
      <c r="AL5">
        <f t="shared" si="13"/>
        <v>0.4702127178203499</v>
      </c>
      <c r="AM5">
        <f t="shared" si="14"/>
        <v>0</v>
      </c>
      <c r="AP5">
        <v>1</v>
      </c>
      <c r="AQ5">
        <v>0.89</v>
      </c>
      <c r="AR5">
        <v>0</v>
      </c>
      <c r="AS5">
        <f t="shared" si="15"/>
        <v>0</v>
      </c>
      <c r="AT5">
        <f t="shared" si="16"/>
        <v>0.31288975694324028</v>
      </c>
      <c r="AU5">
        <f t="shared" si="17"/>
        <v>0</v>
      </c>
      <c r="AX5">
        <v>1</v>
      </c>
      <c r="AY5">
        <v>1</v>
      </c>
      <c r="AZ5">
        <v>1</v>
      </c>
      <c r="BA5">
        <f t="shared" si="18"/>
        <v>0</v>
      </c>
      <c r="BB5">
        <f t="shared" si="19"/>
        <v>0</v>
      </c>
      <c r="BC5">
        <f t="shared" si="20"/>
        <v>0</v>
      </c>
      <c r="BE5" t="s">
        <v>21</v>
      </c>
      <c r="BF5">
        <v>0.89</v>
      </c>
      <c r="BG5">
        <v>1</v>
      </c>
      <c r="BH5">
        <v>0.1</v>
      </c>
      <c r="BI5">
        <f t="shared" si="21"/>
        <v>0.31288975694324028</v>
      </c>
      <c r="BJ5">
        <f t="shared" si="22"/>
        <v>0</v>
      </c>
      <c r="BK5">
        <f t="shared" si="23"/>
        <v>0.30000000000000004</v>
      </c>
      <c r="BN5">
        <v>0.86</v>
      </c>
      <c r="BO5">
        <v>0.88</v>
      </c>
      <c r="BP5">
        <v>0</v>
      </c>
      <c r="BQ5">
        <f t="shared" si="24"/>
        <v>0.34698703145794946</v>
      </c>
      <c r="BR5">
        <f t="shared" si="25"/>
        <v>0.47601158752487255</v>
      </c>
      <c r="BS5">
        <f t="shared" si="26"/>
        <v>0</v>
      </c>
    </row>
    <row r="6" spans="1:79" x14ac:dyDescent="0.2">
      <c r="B6">
        <v>0.96</v>
      </c>
      <c r="C6">
        <v>1</v>
      </c>
      <c r="D6">
        <v>1</v>
      </c>
      <c r="E6">
        <f t="shared" si="0"/>
        <v>0.19595917942265434</v>
      </c>
      <c r="F6">
        <f t="shared" si="1"/>
        <v>0</v>
      </c>
      <c r="G6">
        <f t="shared" si="2"/>
        <v>0</v>
      </c>
      <c r="J6">
        <v>0.99</v>
      </c>
      <c r="K6">
        <v>1</v>
      </c>
      <c r="L6">
        <v>1</v>
      </c>
      <c r="M6">
        <f t="shared" si="3"/>
        <v>9.9498743710662044E-2</v>
      </c>
      <c r="N6">
        <f t="shared" si="4"/>
        <v>0</v>
      </c>
      <c r="O6">
        <f t="shared" si="5"/>
        <v>0</v>
      </c>
      <c r="R6">
        <v>0.95</v>
      </c>
      <c r="S6" t="s">
        <v>3</v>
      </c>
      <c r="T6">
        <v>1</v>
      </c>
      <c r="U6">
        <f>SQRT($R6*(1-$R6))</f>
        <v>0.21794494717703378</v>
      </c>
      <c r="V6" t="e">
        <f t="shared" si="7"/>
        <v>#VALUE!</v>
      </c>
      <c r="W6">
        <f t="shared" si="8"/>
        <v>0</v>
      </c>
      <c r="AA6" t="s">
        <v>3</v>
      </c>
      <c r="AC6">
        <f>SQRT($R8*(1-$R8))</f>
        <v>0.17058722109231989</v>
      </c>
      <c r="AD6" t="e">
        <f t="shared" si="10"/>
        <v>#VALUE!</v>
      </c>
      <c r="AE6">
        <f>SQRT($T8*(1-$T8))</f>
        <v>0</v>
      </c>
      <c r="AH6">
        <v>1</v>
      </c>
      <c r="AI6">
        <v>0.67</v>
      </c>
      <c r="AJ6">
        <v>0</v>
      </c>
      <c r="AK6">
        <f t="shared" si="12"/>
        <v>0</v>
      </c>
      <c r="AL6">
        <f t="shared" si="13"/>
        <v>0.4702127178203499</v>
      </c>
      <c r="AM6">
        <f t="shared" si="14"/>
        <v>0</v>
      </c>
      <c r="AP6">
        <v>0.94</v>
      </c>
      <c r="AQ6">
        <v>1</v>
      </c>
      <c r="AR6">
        <v>0.1</v>
      </c>
      <c r="AS6">
        <f t="shared" si="15"/>
        <v>0.23748684174075843</v>
      </c>
      <c r="AT6">
        <f t="shared" si="16"/>
        <v>0</v>
      </c>
      <c r="AU6">
        <f t="shared" si="17"/>
        <v>0.30000000000000004</v>
      </c>
      <c r="AX6">
        <v>0.95</v>
      </c>
      <c r="AY6">
        <v>1</v>
      </c>
      <c r="AZ6">
        <v>1</v>
      </c>
      <c r="BA6">
        <f t="shared" si="18"/>
        <v>0.21794494717703378</v>
      </c>
      <c r="BB6">
        <f t="shared" si="19"/>
        <v>0</v>
      </c>
      <c r="BC6">
        <f t="shared" si="20"/>
        <v>0</v>
      </c>
      <c r="BE6" t="s">
        <v>19</v>
      </c>
      <c r="BF6">
        <v>1</v>
      </c>
      <c r="BG6">
        <v>1</v>
      </c>
      <c r="BH6">
        <v>1</v>
      </c>
      <c r="BI6">
        <f t="shared" si="21"/>
        <v>0</v>
      </c>
      <c r="BJ6">
        <f t="shared" si="22"/>
        <v>0</v>
      </c>
      <c r="BK6">
        <f t="shared" si="23"/>
        <v>0</v>
      </c>
      <c r="BM6" t="s">
        <v>177</v>
      </c>
      <c r="BN6">
        <v>1</v>
      </c>
      <c r="BO6">
        <v>1</v>
      </c>
      <c r="BP6">
        <v>1</v>
      </c>
      <c r="BQ6">
        <f t="shared" si="24"/>
        <v>0</v>
      </c>
      <c r="BR6">
        <f t="shared" si="25"/>
        <v>0</v>
      </c>
      <c r="BS6">
        <f t="shared" si="26"/>
        <v>0</v>
      </c>
    </row>
    <row r="7" spans="1:79" x14ac:dyDescent="0.2">
      <c r="B7" s="1">
        <v>0.87</v>
      </c>
      <c r="C7">
        <v>1</v>
      </c>
      <c r="D7">
        <v>1</v>
      </c>
      <c r="E7">
        <f t="shared" si="0"/>
        <v>0.33630343441600474</v>
      </c>
      <c r="F7">
        <f t="shared" si="1"/>
        <v>0</v>
      </c>
      <c r="G7">
        <f t="shared" si="2"/>
        <v>0</v>
      </c>
      <c r="J7">
        <v>0.96</v>
      </c>
      <c r="K7">
        <v>0.99</v>
      </c>
      <c r="L7">
        <v>1</v>
      </c>
      <c r="M7">
        <f t="shared" si="3"/>
        <v>0.19595917942265434</v>
      </c>
      <c r="N7">
        <f t="shared" si="4"/>
        <v>9.9498743710662044E-2</v>
      </c>
      <c r="O7">
        <f t="shared" si="5"/>
        <v>0</v>
      </c>
      <c r="R7">
        <v>0.94</v>
      </c>
      <c r="S7" t="s">
        <v>3</v>
      </c>
      <c r="T7">
        <v>1</v>
      </c>
      <c r="U7">
        <f t="shared" ref="U7:U15" si="27">SQRT($R7*(1-$R7))</f>
        <v>0.23748684174075843</v>
      </c>
      <c r="V7" t="e">
        <f t="shared" si="7"/>
        <v>#VALUE!</v>
      </c>
      <c r="W7">
        <f t="shared" si="8"/>
        <v>0</v>
      </c>
      <c r="AA7" t="s">
        <v>3</v>
      </c>
      <c r="AC7" t="e">
        <f>SQRT(#REF!*(1-#REF!))</f>
        <v>#REF!</v>
      </c>
      <c r="AD7" t="e">
        <f t="shared" si="10"/>
        <v>#VALUE!</v>
      </c>
      <c r="AE7" t="e">
        <f>SQRT(#REF!*(1-#REF!))</f>
        <v>#REF!</v>
      </c>
      <c r="AH7">
        <v>0.84</v>
      </c>
      <c r="AI7">
        <v>0.68</v>
      </c>
      <c r="AJ7">
        <v>0</v>
      </c>
      <c r="AK7">
        <f t="shared" si="12"/>
        <v>0.36660605559646725</v>
      </c>
      <c r="AL7">
        <f t="shared" si="13"/>
        <v>0.46647615158762401</v>
      </c>
      <c r="AM7">
        <f t="shared" si="14"/>
        <v>0</v>
      </c>
      <c r="AP7">
        <v>0.95</v>
      </c>
      <c r="AQ7">
        <v>0.88</v>
      </c>
      <c r="AR7">
        <v>0</v>
      </c>
      <c r="AS7">
        <f t="shared" si="15"/>
        <v>0.21794494717703378</v>
      </c>
      <c r="AT7">
        <f t="shared" si="16"/>
        <v>0.32496153618543844</v>
      </c>
      <c r="AU7">
        <f t="shared" si="17"/>
        <v>0</v>
      </c>
      <c r="AX7">
        <v>0.84</v>
      </c>
      <c r="AY7">
        <v>1</v>
      </c>
      <c r="AZ7">
        <v>1</v>
      </c>
      <c r="BA7">
        <f t="shared" si="18"/>
        <v>0.36660605559646725</v>
      </c>
      <c r="BB7">
        <f t="shared" si="19"/>
        <v>0</v>
      </c>
      <c r="BC7">
        <f t="shared" si="20"/>
        <v>0</v>
      </c>
      <c r="BF7">
        <v>0.91</v>
      </c>
      <c r="BG7">
        <v>1</v>
      </c>
      <c r="BH7">
        <v>1</v>
      </c>
      <c r="BI7">
        <f t="shared" si="21"/>
        <v>0.28618176042508364</v>
      </c>
      <c r="BJ7">
        <f t="shared" si="22"/>
        <v>0</v>
      </c>
      <c r="BK7">
        <f t="shared" si="23"/>
        <v>0</v>
      </c>
      <c r="BM7" t="s">
        <v>38</v>
      </c>
      <c r="BN7">
        <v>0.88</v>
      </c>
      <c r="BO7">
        <v>0.88</v>
      </c>
      <c r="BP7">
        <v>0</v>
      </c>
      <c r="BQ7">
        <f t="shared" si="24"/>
        <v>0.32496153618543844</v>
      </c>
      <c r="BR7">
        <f t="shared" si="25"/>
        <v>0.46836047675421805</v>
      </c>
      <c r="BS7">
        <f t="shared" si="26"/>
        <v>0</v>
      </c>
    </row>
    <row r="8" spans="1:79" x14ac:dyDescent="0.2">
      <c r="B8">
        <v>0.99</v>
      </c>
      <c r="C8">
        <v>1</v>
      </c>
      <c r="D8">
        <v>0.9</v>
      </c>
      <c r="E8">
        <f t="shared" si="0"/>
        <v>9.9498743710662044E-2</v>
      </c>
      <c r="F8">
        <f t="shared" si="1"/>
        <v>0</v>
      </c>
      <c r="G8">
        <f t="shared" si="2"/>
        <v>0.3</v>
      </c>
      <c r="J8">
        <v>0.89</v>
      </c>
      <c r="K8">
        <v>1</v>
      </c>
      <c r="L8">
        <v>0.83</v>
      </c>
      <c r="M8">
        <f t="shared" si="3"/>
        <v>0.31288975694324028</v>
      </c>
      <c r="N8">
        <f t="shared" si="4"/>
        <v>0</v>
      </c>
      <c r="O8">
        <f t="shared" si="5"/>
        <v>0.375632799419859</v>
      </c>
      <c r="R8">
        <v>0.97</v>
      </c>
      <c r="S8" t="s">
        <v>3</v>
      </c>
      <c r="T8">
        <v>1</v>
      </c>
      <c r="U8">
        <f t="shared" si="27"/>
        <v>0.17058722109231989</v>
      </c>
      <c r="V8" t="e">
        <f t="shared" si="7"/>
        <v>#VALUE!</v>
      </c>
      <c r="W8">
        <f t="shared" si="8"/>
        <v>0</v>
      </c>
      <c r="AA8" t="s">
        <v>3</v>
      </c>
      <c r="AC8" t="e">
        <f>SQRT(#REF!*(1-#REF!))</f>
        <v>#REF!</v>
      </c>
      <c r="AD8" t="e">
        <f t="shared" si="10"/>
        <v>#VALUE!</v>
      </c>
      <c r="AE8" t="e">
        <f>SQRT(#REF!*(1-#REF!))</f>
        <v>#REF!</v>
      </c>
      <c r="AH8">
        <v>0.87</v>
      </c>
      <c r="AI8">
        <v>0.67</v>
      </c>
      <c r="AJ8">
        <v>0</v>
      </c>
      <c r="AK8">
        <f t="shared" si="12"/>
        <v>0.33630343441600474</v>
      </c>
      <c r="AL8">
        <f t="shared" si="13"/>
        <v>0.4702127178203499</v>
      </c>
      <c r="AM8">
        <f t="shared" si="14"/>
        <v>0</v>
      </c>
      <c r="AP8">
        <v>1</v>
      </c>
      <c r="AQ8">
        <v>1</v>
      </c>
      <c r="AR8">
        <v>0</v>
      </c>
      <c r="AS8">
        <f t="shared" si="15"/>
        <v>0</v>
      </c>
      <c r="AT8">
        <f t="shared" si="16"/>
        <v>0</v>
      </c>
      <c r="AU8">
        <f t="shared" si="17"/>
        <v>0</v>
      </c>
      <c r="AX8">
        <v>0.88</v>
      </c>
      <c r="AY8">
        <v>1</v>
      </c>
      <c r="AZ8">
        <v>0.9</v>
      </c>
      <c r="BA8">
        <f t="shared" si="18"/>
        <v>0.32496153618543844</v>
      </c>
      <c r="BB8">
        <f t="shared" si="19"/>
        <v>0</v>
      </c>
      <c r="BC8">
        <f t="shared" si="20"/>
        <v>0.3</v>
      </c>
      <c r="BE8" s="5" t="s">
        <v>37</v>
      </c>
      <c r="BF8">
        <v>1</v>
      </c>
      <c r="BG8">
        <v>1</v>
      </c>
      <c r="BH8">
        <v>0</v>
      </c>
      <c r="BI8">
        <f t="shared" si="21"/>
        <v>0</v>
      </c>
      <c r="BJ8">
        <f t="shared" si="22"/>
        <v>0</v>
      </c>
      <c r="BK8">
        <f t="shared" si="23"/>
        <v>0</v>
      </c>
      <c r="BM8" s="5" t="s">
        <v>39</v>
      </c>
      <c r="BN8">
        <v>1</v>
      </c>
      <c r="BO8">
        <v>1</v>
      </c>
      <c r="BP8">
        <v>0.3</v>
      </c>
      <c r="BQ8">
        <f t="shared" si="24"/>
        <v>0</v>
      </c>
      <c r="BR8">
        <f t="shared" si="25"/>
        <v>0</v>
      </c>
      <c r="BS8">
        <f t="shared" si="26"/>
        <v>0.45825756949558399</v>
      </c>
    </row>
    <row r="9" spans="1:79" x14ac:dyDescent="0.2">
      <c r="B9">
        <v>1</v>
      </c>
      <c r="C9">
        <v>1</v>
      </c>
      <c r="D9">
        <v>1</v>
      </c>
      <c r="E9">
        <f t="shared" si="0"/>
        <v>0</v>
      </c>
      <c r="F9">
        <f t="shared" si="1"/>
        <v>0</v>
      </c>
      <c r="G9">
        <f t="shared" si="2"/>
        <v>0</v>
      </c>
      <c r="J9">
        <v>0.94</v>
      </c>
      <c r="K9">
        <v>1</v>
      </c>
      <c r="L9">
        <v>0.91</v>
      </c>
      <c r="M9">
        <f t="shared" si="3"/>
        <v>0.23748684174075843</v>
      </c>
      <c r="N9">
        <f t="shared" si="4"/>
        <v>0</v>
      </c>
      <c r="O9">
        <f t="shared" si="5"/>
        <v>0.28618176042508364</v>
      </c>
      <c r="R9">
        <v>0.96</v>
      </c>
      <c r="S9" t="s">
        <v>3</v>
      </c>
      <c r="T9">
        <v>1</v>
      </c>
      <c r="U9">
        <f t="shared" si="27"/>
        <v>0.19595917942265434</v>
      </c>
      <c r="V9" t="e">
        <f t="shared" si="7"/>
        <v>#VALUE!</v>
      </c>
      <c r="W9">
        <f t="shared" si="8"/>
        <v>0</v>
      </c>
      <c r="AA9" t="s">
        <v>3</v>
      </c>
      <c r="AC9">
        <f t="shared" si="9"/>
        <v>0.19595917942265434</v>
      </c>
      <c r="AD9" t="e">
        <f t="shared" si="10"/>
        <v>#VALUE!</v>
      </c>
      <c r="AE9">
        <f t="shared" si="11"/>
        <v>0</v>
      </c>
      <c r="AH9">
        <v>0.9</v>
      </c>
      <c r="AI9">
        <v>0.67</v>
      </c>
      <c r="AJ9">
        <v>0</v>
      </c>
      <c r="AK9">
        <f t="shared" si="12"/>
        <v>0.3</v>
      </c>
      <c r="AL9">
        <f t="shared" si="13"/>
        <v>0.4702127178203499</v>
      </c>
      <c r="AM9">
        <f t="shared" si="14"/>
        <v>0</v>
      </c>
      <c r="AP9">
        <v>0.94</v>
      </c>
      <c r="AQ9">
        <v>0.99</v>
      </c>
      <c r="AR9">
        <v>1</v>
      </c>
      <c r="AS9">
        <f t="shared" si="15"/>
        <v>0.23748684174075843</v>
      </c>
      <c r="AT9">
        <f t="shared" si="16"/>
        <v>9.9498743710662044E-2</v>
      </c>
      <c r="AU9">
        <f t="shared" si="17"/>
        <v>0</v>
      </c>
      <c r="AX9">
        <v>0.71</v>
      </c>
      <c r="AY9">
        <v>1</v>
      </c>
      <c r="AZ9">
        <v>0.4</v>
      </c>
      <c r="BA9">
        <f t="shared" si="18"/>
        <v>0.45376205218153715</v>
      </c>
      <c r="BB9">
        <f t="shared" si="19"/>
        <v>0</v>
      </c>
      <c r="BC9">
        <f t="shared" si="20"/>
        <v>0.4898979485566356</v>
      </c>
      <c r="BF9">
        <v>0.89</v>
      </c>
      <c r="BG9">
        <v>1</v>
      </c>
      <c r="BH9">
        <v>0.9</v>
      </c>
      <c r="BI9">
        <f t="shared" si="21"/>
        <v>0.31288975694324028</v>
      </c>
      <c r="BJ9">
        <f t="shared" si="22"/>
        <v>0</v>
      </c>
      <c r="BK9">
        <f t="shared" si="23"/>
        <v>0.3</v>
      </c>
      <c r="BM9" t="s">
        <v>38</v>
      </c>
      <c r="BN9">
        <v>1</v>
      </c>
      <c r="BO9">
        <v>0.88</v>
      </c>
      <c r="BP9">
        <v>0</v>
      </c>
      <c r="BQ9">
        <f t="shared" si="24"/>
        <v>0</v>
      </c>
      <c r="BR9">
        <f t="shared" si="25"/>
        <v>0</v>
      </c>
      <c r="BS9">
        <f t="shared" si="26"/>
        <v>0</v>
      </c>
    </row>
    <row r="10" spans="1:79" x14ac:dyDescent="0.2">
      <c r="B10">
        <v>1</v>
      </c>
      <c r="C10">
        <v>1</v>
      </c>
      <c r="D10">
        <v>1</v>
      </c>
      <c r="E10">
        <f t="shared" si="0"/>
        <v>0</v>
      </c>
      <c r="F10">
        <f t="shared" si="1"/>
        <v>0</v>
      </c>
      <c r="G10">
        <f t="shared" si="2"/>
        <v>0</v>
      </c>
      <c r="J10">
        <v>0.95</v>
      </c>
      <c r="K10">
        <v>1</v>
      </c>
      <c r="L10">
        <v>1</v>
      </c>
      <c r="M10">
        <f t="shared" si="3"/>
        <v>0.21794494717703378</v>
      </c>
      <c r="N10">
        <f t="shared" si="4"/>
        <v>0</v>
      </c>
      <c r="O10">
        <f t="shared" si="5"/>
        <v>0</v>
      </c>
      <c r="R10">
        <v>1</v>
      </c>
      <c r="S10" t="s">
        <v>3</v>
      </c>
      <c r="T10">
        <v>1</v>
      </c>
      <c r="U10">
        <f t="shared" si="27"/>
        <v>0</v>
      </c>
      <c r="V10" t="e">
        <f t="shared" si="7"/>
        <v>#VALUE!</v>
      </c>
      <c r="W10">
        <f t="shared" si="8"/>
        <v>0</v>
      </c>
      <c r="AA10" t="s">
        <v>3</v>
      </c>
      <c r="AC10">
        <f t="shared" si="9"/>
        <v>0</v>
      </c>
      <c r="AD10" t="e">
        <f t="shared" si="10"/>
        <v>#VALUE!</v>
      </c>
      <c r="AE10">
        <f t="shared" si="11"/>
        <v>0</v>
      </c>
      <c r="AH10">
        <v>1</v>
      </c>
      <c r="AI10">
        <v>1</v>
      </c>
      <c r="AJ10">
        <v>1</v>
      </c>
      <c r="AK10">
        <f t="shared" si="12"/>
        <v>0</v>
      </c>
      <c r="AL10">
        <f t="shared" si="13"/>
        <v>0</v>
      </c>
      <c r="AM10">
        <f t="shared" si="14"/>
        <v>0</v>
      </c>
      <c r="AP10">
        <v>1</v>
      </c>
      <c r="AQ10">
        <v>1</v>
      </c>
      <c r="AR10">
        <v>1</v>
      </c>
      <c r="AS10">
        <f t="shared" si="15"/>
        <v>0</v>
      </c>
      <c r="AT10">
        <f t="shared" si="16"/>
        <v>0</v>
      </c>
      <c r="AU10">
        <f t="shared" si="17"/>
        <v>0</v>
      </c>
      <c r="AX10">
        <v>1</v>
      </c>
      <c r="AY10">
        <v>1</v>
      </c>
      <c r="AZ10">
        <v>1</v>
      </c>
      <c r="BA10">
        <f t="shared" si="18"/>
        <v>0</v>
      </c>
      <c r="BB10">
        <f t="shared" si="19"/>
        <v>0</v>
      </c>
      <c r="BC10">
        <f t="shared" si="20"/>
        <v>0</v>
      </c>
      <c r="BF10">
        <v>1</v>
      </c>
      <c r="BG10">
        <v>1</v>
      </c>
      <c r="BH10">
        <v>1</v>
      </c>
      <c r="BI10">
        <f t="shared" si="21"/>
        <v>0</v>
      </c>
      <c r="BJ10">
        <f t="shared" si="22"/>
        <v>0</v>
      </c>
      <c r="BK10">
        <f t="shared" si="23"/>
        <v>0</v>
      </c>
      <c r="BM10" t="s">
        <v>40</v>
      </c>
      <c r="BN10">
        <v>1</v>
      </c>
      <c r="BO10">
        <v>1</v>
      </c>
      <c r="BP10">
        <v>1</v>
      </c>
      <c r="BQ10">
        <f t="shared" si="24"/>
        <v>0</v>
      </c>
      <c r="BR10">
        <f t="shared" si="25"/>
        <v>0</v>
      </c>
      <c r="BS10">
        <f t="shared" si="26"/>
        <v>0</v>
      </c>
    </row>
    <row r="11" spans="1:79" x14ac:dyDescent="0.2">
      <c r="B11">
        <v>1</v>
      </c>
      <c r="C11">
        <v>0.9</v>
      </c>
      <c r="D11">
        <v>1</v>
      </c>
      <c r="E11">
        <f t="shared" si="0"/>
        <v>0</v>
      </c>
      <c r="F11">
        <f t="shared" si="1"/>
        <v>0.3</v>
      </c>
      <c r="G11">
        <f t="shared" si="2"/>
        <v>0</v>
      </c>
      <c r="J11">
        <v>1</v>
      </c>
      <c r="K11">
        <v>1</v>
      </c>
      <c r="L11">
        <v>1</v>
      </c>
      <c r="M11">
        <f t="shared" si="3"/>
        <v>0</v>
      </c>
      <c r="N11">
        <f t="shared" si="4"/>
        <v>0</v>
      </c>
      <c r="O11">
        <f t="shared" si="5"/>
        <v>0</v>
      </c>
      <c r="R11">
        <v>1</v>
      </c>
      <c r="S11" t="s">
        <v>3</v>
      </c>
      <c r="U11">
        <f t="shared" si="27"/>
        <v>0</v>
      </c>
      <c r="V11" t="e">
        <f t="shared" si="7"/>
        <v>#VALUE!</v>
      </c>
      <c r="W11">
        <f t="shared" si="8"/>
        <v>0</v>
      </c>
      <c r="AA11" t="s">
        <v>3</v>
      </c>
      <c r="AC11">
        <f t="shared" si="9"/>
        <v>0</v>
      </c>
      <c r="AD11" t="e">
        <f t="shared" si="10"/>
        <v>#VALUE!</v>
      </c>
      <c r="AE11">
        <f t="shared" si="11"/>
        <v>0</v>
      </c>
      <c r="AH11">
        <v>0.92</v>
      </c>
      <c r="AI11">
        <v>0.68</v>
      </c>
      <c r="AJ11">
        <v>0</v>
      </c>
      <c r="AK11">
        <f t="shared" si="12"/>
        <v>0.27129319932501067</v>
      </c>
      <c r="AL11">
        <f t="shared" si="13"/>
        <v>0.46647615158762401</v>
      </c>
      <c r="AM11">
        <f t="shared" si="14"/>
        <v>0</v>
      </c>
      <c r="AP11">
        <v>1</v>
      </c>
      <c r="AQ11">
        <v>1</v>
      </c>
      <c r="AR11">
        <v>1</v>
      </c>
      <c r="AS11">
        <f t="shared" si="15"/>
        <v>0</v>
      </c>
      <c r="AT11">
        <f t="shared" si="16"/>
        <v>0</v>
      </c>
      <c r="AU11">
        <f t="shared" si="17"/>
        <v>0</v>
      </c>
      <c r="AX11">
        <v>0.7</v>
      </c>
      <c r="AY11">
        <v>1</v>
      </c>
      <c r="AZ11">
        <v>0.18</v>
      </c>
      <c r="BA11">
        <f t="shared" si="18"/>
        <v>0.45825756949558405</v>
      </c>
      <c r="BB11">
        <f t="shared" si="19"/>
        <v>0</v>
      </c>
      <c r="BC11">
        <f t="shared" si="20"/>
        <v>0.38418745424597095</v>
      </c>
      <c r="BE11" t="s">
        <v>178</v>
      </c>
      <c r="BF11">
        <v>1</v>
      </c>
      <c r="BG11">
        <v>1</v>
      </c>
      <c r="BH11">
        <v>0</v>
      </c>
      <c r="BI11">
        <f t="shared" si="21"/>
        <v>0</v>
      </c>
      <c r="BJ11">
        <f t="shared" si="22"/>
        <v>0</v>
      </c>
      <c r="BK11">
        <f t="shared" si="23"/>
        <v>0</v>
      </c>
      <c r="BN11">
        <v>1</v>
      </c>
      <c r="BO11">
        <v>1</v>
      </c>
      <c r="BP11">
        <v>1</v>
      </c>
      <c r="BQ11">
        <f t="shared" si="24"/>
        <v>0</v>
      </c>
      <c r="BR11">
        <f t="shared" si="25"/>
        <v>0</v>
      </c>
      <c r="BS11">
        <f t="shared" si="26"/>
        <v>0</v>
      </c>
    </row>
    <row r="12" spans="1:79" x14ac:dyDescent="0.2">
      <c r="B12">
        <v>1</v>
      </c>
      <c r="C12">
        <v>1</v>
      </c>
      <c r="D12">
        <v>1</v>
      </c>
      <c r="E12">
        <f t="shared" si="0"/>
        <v>0</v>
      </c>
      <c r="F12">
        <f t="shared" si="1"/>
        <v>0</v>
      </c>
      <c r="G12">
        <f t="shared" si="2"/>
        <v>0</v>
      </c>
      <c r="J12">
        <v>1</v>
      </c>
      <c r="K12">
        <v>1</v>
      </c>
      <c r="L12">
        <v>1</v>
      </c>
      <c r="M12">
        <f t="shared" si="3"/>
        <v>0</v>
      </c>
      <c r="N12">
        <f t="shared" si="4"/>
        <v>0</v>
      </c>
      <c r="O12">
        <f t="shared" si="5"/>
        <v>0</v>
      </c>
      <c r="R12">
        <v>1</v>
      </c>
      <c r="S12" t="s">
        <v>3</v>
      </c>
      <c r="T12">
        <v>1</v>
      </c>
      <c r="U12">
        <f t="shared" si="27"/>
        <v>0</v>
      </c>
      <c r="V12" t="e">
        <f t="shared" si="7"/>
        <v>#VALUE!</v>
      </c>
      <c r="W12">
        <f t="shared" si="8"/>
        <v>0</v>
      </c>
      <c r="AA12" t="s">
        <v>3</v>
      </c>
      <c r="AC12">
        <f t="shared" si="9"/>
        <v>0</v>
      </c>
      <c r="AD12" t="e">
        <f t="shared" si="10"/>
        <v>#VALUE!</v>
      </c>
      <c r="AE12">
        <f t="shared" si="11"/>
        <v>0</v>
      </c>
      <c r="AH12">
        <v>1</v>
      </c>
      <c r="AI12">
        <v>1</v>
      </c>
      <c r="AJ12">
        <v>0</v>
      </c>
      <c r="AK12">
        <f t="shared" si="12"/>
        <v>0</v>
      </c>
      <c r="AL12">
        <f t="shared" si="13"/>
        <v>0</v>
      </c>
      <c r="AM12">
        <f t="shared" si="14"/>
        <v>0</v>
      </c>
      <c r="AP12">
        <v>1</v>
      </c>
      <c r="AQ12">
        <v>1</v>
      </c>
      <c r="AR12">
        <v>0.33</v>
      </c>
      <c r="AS12">
        <f t="shared" si="15"/>
        <v>0</v>
      </c>
      <c r="AT12">
        <f t="shared" si="16"/>
        <v>0</v>
      </c>
      <c r="AU12">
        <f t="shared" si="17"/>
        <v>0.4702127178203499</v>
      </c>
      <c r="AX12">
        <v>1</v>
      </c>
      <c r="AY12">
        <v>1</v>
      </c>
      <c r="AZ12">
        <v>1</v>
      </c>
      <c r="BA12">
        <f t="shared" si="18"/>
        <v>0</v>
      </c>
      <c r="BB12">
        <f t="shared" si="19"/>
        <v>0</v>
      </c>
      <c r="BC12">
        <f t="shared" si="20"/>
        <v>0</v>
      </c>
      <c r="BF12">
        <v>1</v>
      </c>
      <c r="BG12">
        <v>1</v>
      </c>
      <c r="BH12">
        <v>1</v>
      </c>
      <c r="BI12">
        <f t="shared" si="21"/>
        <v>0</v>
      </c>
      <c r="BJ12">
        <f t="shared" si="22"/>
        <v>0</v>
      </c>
      <c r="BK12">
        <f t="shared" si="23"/>
        <v>0</v>
      </c>
      <c r="BN12">
        <v>1</v>
      </c>
      <c r="BO12">
        <v>1</v>
      </c>
      <c r="BP12">
        <v>1</v>
      </c>
      <c r="BQ12">
        <f t="shared" si="24"/>
        <v>0</v>
      </c>
      <c r="BR12">
        <f t="shared" si="25"/>
        <v>0</v>
      </c>
      <c r="BS12">
        <f t="shared" si="26"/>
        <v>0</v>
      </c>
    </row>
    <row r="13" spans="1:79" s="3" customFormat="1" x14ac:dyDescent="0.2">
      <c r="B13" s="3">
        <v>0.85</v>
      </c>
      <c r="C13" s="3">
        <v>1</v>
      </c>
      <c r="D13" s="3">
        <v>0.9</v>
      </c>
      <c r="E13" s="3">
        <f t="shared" si="0"/>
        <v>0.35707142142714249</v>
      </c>
      <c r="F13" s="3">
        <f t="shared" si="1"/>
        <v>0</v>
      </c>
      <c r="G13" s="3">
        <f t="shared" si="2"/>
        <v>0.3</v>
      </c>
      <c r="J13" s="3">
        <v>1</v>
      </c>
      <c r="K13" s="3">
        <v>1</v>
      </c>
      <c r="L13" s="3">
        <v>0.9</v>
      </c>
      <c r="M13">
        <f t="shared" si="3"/>
        <v>0</v>
      </c>
      <c r="N13">
        <f t="shared" si="4"/>
        <v>0</v>
      </c>
      <c r="O13">
        <f t="shared" si="5"/>
        <v>0.3</v>
      </c>
      <c r="R13" s="3">
        <v>0.95</v>
      </c>
      <c r="S13" s="3" t="s">
        <v>3</v>
      </c>
      <c r="T13" s="3">
        <v>0.9</v>
      </c>
      <c r="U13" s="3">
        <f t="shared" si="27"/>
        <v>0.21794494717703378</v>
      </c>
      <c r="V13" s="3" t="e">
        <f t="shared" si="7"/>
        <v>#VALUE!</v>
      </c>
      <c r="W13" s="3">
        <f t="shared" si="8"/>
        <v>0.3</v>
      </c>
      <c r="AA13" s="3" t="s">
        <v>3</v>
      </c>
      <c r="AC13" s="3">
        <f t="shared" si="9"/>
        <v>0.21794494717703378</v>
      </c>
      <c r="AD13" s="3" t="e">
        <f t="shared" si="10"/>
        <v>#VALUE!</v>
      </c>
      <c r="AE13" s="3">
        <f t="shared" si="11"/>
        <v>0.3</v>
      </c>
      <c r="AH13" s="3">
        <v>0.9</v>
      </c>
      <c r="AI13" s="3">
        <v>1</v>
      </c>
      <c r="AJ13" s="3">
        <v>0.8</v>
      </c>
      <c r="AK13" s="3">
        <f t="shared" si="12"/>
        <v>0.3</v>
      </c>
      <c r="AL13" s="3">
        <f t="shared" si="13"/>
        <v>0</v>
      </c>
      <c r="AM13" s="3">
        <f t="shared" si="14"/>
        <v>0.39999999999999997</v>
      </c>
      <c r="AQ13" s="3">
        <v>0</v>
      </c>
      <c r="AS13" s="3">
        <f t="shared" si="15"/>
        <v>0</v>
      </c>
      <c r="AT13" s="3">
        <f t="shared" si="16"/>
        <v>0</v>
      </c>
      <c r="AU13" s="3">
        <f t="shared" si="17"/>
        <v>0</v>
      </c>
      <c r="AX13" s="3">
        <v>0.9</v>
      </c>
      <c r="AY13" s="3">
        <v>0.72</v>
      </c>
      <c r="AZ13" s="3">
        <v>0.8</v>
      </c>
      <c r="BA13" s="3">
        <f t="shared" si="18"/>
        <v>0.3</v>
      </c>
      <c r="BB13" s="3">
        <f t="shared" si="19"/>
        <v>0.44899888641287294</v>
      </c>
      <c r="BC13" s="3">
        <f t="shared" si="20"/>
        <v>0.39999999999999997</v>
      </c>
      <c r="BF13" s="3">
        <v>1</v>
      </c>
      <c r="BG13" s="3">
        <v>0</v>
      </c>
      <c r="BI13" s="3">
        <f t="shared" si="21"/>
        <v>0</v>
      </c>
      <c r="BJ13" s="3">
        <f t="shared" si="22"/>
        <v>0</v>
      </c>
      <c r="BK13" s="3">
        <f t="shared" si="23"/>
        <v>0</v>
      </c>
      <c r="BN13" s="3">
        <v>0.5</v>
      </c>
      <c r="BO13" s="3">
        <v>1</v>
      </c>
      <c r="BP13" s="3">
        <v>1</v>
      </c>
      <c r="BQ13">
        <f t="shared" si="24"/>
        <v>0.5</v>
      </c>
      <c r="BR13">
        <f t="shared" si="25"/>
        <v>0.5</v>
      </c>
      <c r="BS13">
        <f t="shared" si="26"/>
        <v>0</v>
      </c>
    </row>
    <row r="14" spans="1:79" s="3" customFormat="1" x14ac:dyDescent="0.2">
      <c r="B14" s="3">
        <v>1</v>
      </c>
      <c r="C14" s="3">
        <v>1</v>
      </c>
      <c r="D14" s="3">
        <v>0.5</v>
      </c>
      <c r="E14" s="3">
        <f t="shared" si="0"/>
        <v>0</v>
      </c>
      <c r="F14" s="3">
        <f t="shared" si="1"/>
        <v>0</v>
      </c>
      <c r="G14" s="3">
        <f t="shared" si="2"/>
        <v>0.5</v>
      </c>
      <c r="J14" s="3">
        <v>1</v>
      </c>
      <c r="K14" s="3">
        <v>1</v>
      </c>
      <c r="L14" s="3">
        <v>1</v>
      </c>
      <c r="M14">
        <f t="shared" si="3"/>
        <v>0</v>
      </c>
      <c r="N14">
        <f t="shared" si="4"/>
        <v>0</v>
      </c>
      <c r="O14">
        <f t="shared" si="5"/>
        <v>0</v>
      </c>
      <c r="R14" s="3">
        <v>1</v>
      </c>
      <c r="S14" s="3" t="s">
        <v>3</v>
      </c>
      <c r="T14" s="3">
        <v>0.3</v>
      </c>
      <c r="U14" s="3">
        <f t="shared" si="27"/>
        <v>0</v>
      </c>
      <c r="V14" s="3" t="e">
        <f t="shared" si="7"/>
        <v>#VALUE!</v>
      </c>
      <c r="W14" s="3">
        <f t="shared" si="8"/>
        <v>0.45825756949558399</v>
      </c>
      <c r="AA14" s="3" t="s">
        <v>3</v>
      </c>
      <c r="AC14" s="3">
        <f t="shared" si="9"/>
        <v>0</v>
      </c>
      <c r="AD14" s="3" t="e">
        <f t="shared" si="10"/>
        <v>#VALUE!</v>
      </c>
      <c r="AE14" s="3">
        <f t="shared" si="11"/>
        <v>0.45825756949558399</v>
      </c>
      <c r="AH14" s="3">
        <v>0.91</v>
      </c>
      <c r="AI14" s="3">
        <v>1</v>
      </c>
      <c r="AJ14" s="3">
        <v>1</v>
      </c>
      <c r="AK14" s="3">
        <f t="shared" si="12"/>
        <v>0.28618176042508364</v>
      </c>
      <c r="AL14" s="3">
        <f t="shared" si="13"/>
        <v>0</v>
      </c>
      <c r="AM14" s="3">
        <f t="shared" si="14"/>
        <v>0</v>
      </c>
      <c r="AQ14" s="3">
        <v>0</v>
      </c>
      <c r="AS14" s="3">
        <f t="shared" si="15"/>
        <v>0</v>
      </c>
      <c r="AT14" s="3">
        <f t="shared" si="16"/>
        <v>0</v>
      </c>
      <c r="AU14" s="3">
        <f t="shared" si="17"/>
        <v>0</v>
      </c>
      <c r="AX14" s="3">
        <v>1</v>
      </c>
      <c r="AY14" s="3">
        <v>0.8</v>
      </c>
      <c r="AZ14" s="3">
        <v>1</v>
      </c>
      <c r="BA14" s="3">
        <f t="shared" si="18"/>
        <v>0</v>
      </c>
      <c r="BB14" s="3">
        <f t="shared" si="19"/>
        <v>0.39999999999999997</v>
      </c>
      <c r="BC14" s="3">
        <f t="shared" si="20"/>
        <v>0</v>
      </c>
      <c r="BF14" s="3">
        <v>1</v>
      </c>
      <c r="BG14" s="3">
        <v>0</v>
      </c>
      <c r="BI14" s="3">
        <f t="shared" si="21"/>
        <v>0</v>
      </c>
      <c r="BJ14" s="3">
        <f t="shared" si="22"/>
        <v>0</v>
      </c>
      <c r="BK14" s="3">
        <f t="shared" si="23"/>
        <v>0</v>
      </c>
      <c r="BN14" s="3">
        <v>0.5</v>
      </c>
      <c r="BO14" s="3">
        <v>1</v>
      </c>
      <c r="BP14" s="3">
        <v>0.9</v>
      </c>
      <c r="BQ14">
        <f t="shared" si="24"/>
        <v>0.5</v>
      </c>
      <c r="BR14">
        <f t="shared" si="25"/>
        <v>0.5</v>
      </c>
      <c r="BS14">
        <f t="shared" si="26"/>
        <v>0.3</v>
      </c>
    </row>
    <row r="15" spans="1:79" s="3" customFormat="1" x14ac:dyDescent="0.2">
      <c r="B15" s="3">
        <v>0.86</v>
      </c>
      <c r="C15" s="3">
        <v>1</v>
      </c>
      <c r="D15" s="3">
        <v>0.18</v>
      </c>
      <c r="E15" s="3">
        <f t="shared" si="0"/>
        <v>0.34698703145794946</v>
      </c>
      <c r="F15" s="3">
        <f t="shared" si="1"/>
        <v>0</v>
      </c>
      <c r="G15" s="3">
        <f t="shared" si="2"/>
        <v>0.38418745424597095</v>
      </c>
      <c r="J15" s="3">
        <v>1</v>
      </c>
      <c r="K15" s="3">
        <v>1</v>
      </c>
      <c r="L15" s="3">
        <v>1</v>
      </c>
      <c r="M15">
        <f t="shared" si="3"/>
        <v>0</v>
      </c>
      <c r="N15">
        <f t="shared" si="4"/>
        <v>0</v>
      </c>
      <c r="O15">
        <f t="shared" si="5"/>
        <v>0</v>
      </c>
      <c r="R15" s="3">
        <v>0.83</v>
      </c>
      <c r="S15" s="3" t="s">
        <v>3</v>
      </c>
      <c r="T15" s="3">
        <v>0.46</v>
      </c>
      <c r="U15" s="3">
        <f t="shared" si="27"/>
        <v>0.375632799419859</v>
      </c>
      <c r="V15" s="3" t="e">
        <f t="shared" si="7"/>
        <v>#VALUE!</v>
      </c>
      <c r="W15" s="3">
        <f t="shared" si="8"/>
        <v>0.49839743177508455</v>
      </c>
      <c r="AA15" s="3" t="s">
        <v>3</v>
      </c>
      <c r="AC15" s="3">
        <f t="shared" si="9"/>
        <v>0.375632799419859</v>
      </c>
      <c r="AD15" s="3" t="e">
        <f t="shared" si="10"/>
        <v>#VALUE!</v>
      </c>
      <c r="AE15" s="3">
        <f t="shared" si="11"/>
        <v>0.49839743177508455</v>
      </c>
      <c r="AH15" s="3">
        <v>0.85</v>
      </c>
      <c r="AI15" s="3">
        <v>0.95</v>
      </c>
      <c r="AJ15" s="3">
        <v>0.5</v>
      </c>
      <c r="AK15" s="3">
        <f t="shared" si="12"/>
        <v>0.35707142142714249</v>
      </c>
      <c r="AL15" s="3">
        <f t="shared" si="13"/>
        <v>0.21794494717703378</v>
      </c>
      <c r="AM15" s="3">
        <f t="shared" si="14"/>
        <v>0.5</v>
      </c>
      <c r="AQ15" s="3">
        <v>0</v>
      </c>
      <c r="AS15" s="3">
        <f t="shared" si="15"/>
        <v>0</v>
      </c>
      <c r="AT15" s="3">
        <f t="shared" si="16"/>
        <v>0</v>
      </c>
      <c r="AU15" s="3">
        <f t="shared" si="17"/>
        <v>0</v>
      </c>
      <c r="AX15" s="3">
        <v>1</v>
      </c>
      <c r="AY15" s="3">
        <v>0.74</v>
      </c>
      <c r="AZ15" s="3">
        <v>0.33</v>
      </c>
      <c r="BA15" s="3">
        <f t="shared" si="18"/>
        <v>0</v>
      </c>
      <c r="BB15" s="3">
        <f t="shared" si="19"/>
        <v>0.43863424398922618</v>
      </c>
      <c r="BC15" s="3">
        <f t="shared" si="20"/>
        <v>0.4702127178203499</v>
      </c>
      <c r="BF15" s="3">
        <v>1</v>
      </c>
      <c r="BG15" s="3">
        <v>0</v>
      </c>
      <c r="BI15" s="3">
        <f t="shared" si="21"/>
        <v>0</v>
      </c>
      <c r="BJ15" s="3">
        <f t="shared" si="22"/>
        <v>0</v>
      </c>
      <c r="BK15" s="3">
        <f t="shared" si="23"/>
        <v>0</v>
      </c>
      <c r="BN15" s="3">
        <v>0.45</v>
      </c>
      <c r="BO15" s="3">
        <v>1</v>
      </c>
      <c r="BP15" s="3">
        <v>0.95</v>
      </c>
      <c r="BQ15">
        <f t="shared" si="24"/>
        <v>0.49749371855330998</v>
      </c>
      <c r="BR15">
        <f t="shared" si="25"/>
        <v>0.49999371851385294</v>
      </c>
      <c r="BS15">
        <f t="shared" si="26"/>
        <v>0.21794494717703378</v>
      </c>
    </row>
    <row r="16" spans="1:79" s="6" customFormat="1" x14ac:dyDescent="0.2">
      <c r="D16" s="6">
        <v>1</v>
      </c>
      <c r="E16" s="3"/>
      <c r="F16" s="3"/>
      <c r="G16" s="3">
        <f t="shared" ref="G16:G44" si="28">SQRT($D16*(1-$D16))</f>
        <v>0</v>
      </c>
      <c r="L16" s="6">
        <v>1</v>
      </c>
      <c r="M16">
        <f t="shared" si="3"/>
        <v>0</v>
      </c>
      <c r="T16" s="6">
        <v>1</v>
      </c>
      <c r="W16">
        <f t="shared" si="8"/>
        <v>0</v>
      </c>
      <c r="AE16" s="6">
        <f t="shared" si="11"/>
        <v>0</v>
      </c>
      <c r="AJ16" s="6">
        <v>1</v>
      </c>
      <c r="AM16">
        <f t="shared" si="14"/>
        <v>0</v>
      </c>
      <c r="AR16" s="6">
        <v>1</v>
      </c>
      <c r="AU16">
        <f t="shared" si="17"/>
        <v>0</v>
      </c>
      <c r="AZ16" s="6">
        <v>1</v>
      </c>
      <c r="BC16">
        <f t="shared" si="20"/>
        <v>0</v>
      </c>
      <c r="BH16" s="6">
        <v>1</v>
      </c>
      <c r="BK16" s="3">
        <f t="shared" si="23"/>
        <v>0</v>
      </c>
      <c r="BP16" s="6">
        <v>1</v>
      </c>
      <c r="BS16">
        <f t="shared" si="26"/>
        <v>0</v>
      </c>
    </row>
    <row r="17" spans="4:71" s="6" customFormat="1" x14ac:dyDescent="0.2">
      <c r="D17" s="6">
        <v>0.8</v>
      </c>
      <c r="E17" s="3"/>
      <c r="F17" s="3"/>
      <c r="G17" s="3">
        <f t="shared" si="28"/>
        <v>0.39999999999999997</v>
      </c>
      <c r="L17" s="6">
        <v>1</v>
      </c>
      <c r="M17">
        <f t="shared" si="3"/>
        <v>0</v>
      </c>
      <c r="T17" s="6">
        <v>1</v>
      </c>
      <c r="W17">
        <f t="shared" si="8"/>
        <v>0</v>
      </c>
      <c r="AE17" s="6">
        <f t="shared" si="11"/>
        <v>0</v>
      </c>
      <c r="AJ17" s="6">
        <v>1</v>
      </c>
      <c r="AM17">
        <f t="shared" si="14"/>
        <v>0</v>
      </c>
      <c r="AR17" s="6">
        <v>1</v>
      </c>
      <c r="AU17">
        <f t="shared" si="17"/>
        <v>0</v>
      </c>
      <c r="AZ17" s="6">
        <v>1</v>
      </c>
      <c r="BC17">
        <f t="shared" si="20"/>
        <v>0</v>
      </c>
      <c r="BH17" s="6">
        <v>1</v>
      </c>
      <c r="BK17" s="3">
        <f t="shared" si="23"/>
        <v>0</v>
      </c>
      <c r="BP17" s="6">
        <v>1</v>
      </c>
      <c r="BS17">
        <f t="shared" si="26"/>
        <v>0</v>
      </c>
    </row>
    <row r="18" spans="4:71" s="6" customFormat="1" x14ac:dyDescent="0.2">
      <c r="D18" s="6">
        <v>1</v>
      </c>
      <c r="E18" s="3"/>
      <c r="F18" s="3"/>
      <c r="G18" s="3">
        <f t="shared" si="28"/>
        <v>0</v>
      </c>
      <c r="L18" s="6">
        <v>0.6</v>
      </c>
      <c r="M18">
        <f t="shared" si="3"/>
        <v>0</v>
      </c>
      <c r="T18" s="6">
        <v>1</v>
      </c>
      <c r="W18">
        <f t="shared" si="8"/>
        <v>0</v>
      </c>
      <c r="AE18" s="6">
        <f t="shared" si="11"/>
        <v>0</v>
      </c>
      <c r="AJ18" s="5">
        <v>0</v>
      </c>
      <c r="AK18" s="5" t="s">
        <v>28</v>
      </c>
      <c r="AM18">
        <f t="shared" si="14"/>
        <v>0</v>
      </c>
      <c r="AR18" s="6">
        <v>0.4</v>
      </c>
      <c r="AS18" s="5" t="s">
        <v>28</v>
      </c>
      <c r="AU18">
        <f t="shared" si="17"/>
        <v>0.4898979485566356</v>
      </c>
      <c r="AZ18" s="6">
        <v>1</v>
      </c>
      <c r="BC18">
        <f t="shared" si="20"/>
        <v>0</v>
      </c>
      <c r="BH18" s="6">
        <v>1</v>
      </c>
      <c r="BK18" s="3">
        <f t="shared" si="23"/>
        <v>0</v>
      </c>
      <c r="BP18" s="6">
        <v>1</v>
      </c>
      <c r="BS18">
        <f t="shared" si="26"/>
        <v>0</v>
      </c>
    </row>
    <row r="19" spans="4:71" s="6" customFormat="1" x14ac:dyDescent="0.2">
      <c r="D19" s="6">
        <v>1</v>
      </c>
      <c r="E19" s="3"/>
      <c r="F19" s="3"/>
      <c r="G19" s="3">
        <f t="shared" si="28"/>
        <v>0</v>
      </c>
      <c r="L19" s="6">
        <v>1</v>
      </c>
      <c r="M19">
        <f t="shared" si="3"/>
        <v>0</v>
      </c>
      <c r="T19" s="6">
        <v>1</v>
      </c>
      <c r="W19">
        <f t="shared" si="8"/>
        <v>0</v>
      </c>
      <c r="AE19" s="6">
        <f t="shared" si="11"/>
        <v>0</v>
      </c>
      <c r="AJ19" s="6">
        <v>1</v>
      </c>
      <c r="AM19">
        <f t="shared" si="14"/>
        <v>0</v>
      </c>
      <c r="AR19" s="6">
        <v>1</v>
      </c>
      <c r="AU19">
        <f t="shared" si="17"/>
        <v>0</v>
      </c>
      <c r="AZ19" s="6">
        <v>0.95</v>
      </c>
      <c r="BC19">
        <f t="shared" si="20"/>
        <v>0.21794494717703378</v>
      </c>
      <c r="BH19" s="6">
        <v>1</v>
      </c>
      <c r="BK19" s="3">
        <f t="shared" si="23"/>
        <v>0</v>
      </c>
      <c r="BP19" s="6">
        <v>0</v>
      </c>
      <c r="BQ19" s="5" t="s">
        <v>41</v>
      </c>
      <c r="BS19">
        <f t="shared" si="26"/>
        <v>0</v>
      </c>
    </row>
    <row r="20" spans="4:71" s="6" customFormat="1" x14ac:dyDescent="0.2">
      <c r="D20" s="6">
        <v>1</v>
      </c>
      <c r="E20" s="3"/>
      <c r="F20" s="3"/>
      <c r="G20" s="3">
        <f t="shared" si="28"/>
        <v>0</v>
      </c>
      <c r="L20" s="6">
        <v>1</v>
      </c>
      <c r="M20">
        <f t="shared" si="3"/>
        <v>0</v>
      </c>
      <c r="T20" s="6">
        <v>1</v>
      </c>
      <c r="W20">
        <f t="shared" si="8"/>
        <v>0</v>
      </c>
      <c r="AE20" s="6">
        <f t="shared" si="11"/>
        <v>0</v>
      </c>
      <c r="AJ20" s="6">
        <v>1</v>
      </c>
      <c r="AM20">
        <f t="shared" si="14"/>
        <v>0</v>
      </c>
      <c r="AR20" s="6">
        <v>1</v>
      </c>
      <c r="AU20">
        <f t="shared" si="17"/>
        <v>0</v>
      </c>
      <c r="AZ20" s="6">
        <v>0.9</v>
      </c>
      <c r="BC20">
        <f t="shared" si="20"/>
        <v>0.3</v>
      </c>
      <c r="BH20" s="6">
        <v>1</v>
      </c>
      <c r="BK20" s="3">
        <f t="shared" si="23"/>
        <v>0</v>
      </c>
      <c r="BP20" s="6">
        <v>1</v>
      </c>
      <c r="BS20">
        <f t="shared" si="26"/>
        <v>0</v>
      </c>
    </row>
    <row r="21" spans="4:71" s="6" customFormat="1" x14ac:dyDescent="0.2">
      <c r="D21" s="6">
        <v>1</v>
      </c>
      <c r="E21" s="3"/>
      <c r="F21" s="3"/>
      <c r="G21" s="3">
        <f t="shared" si="28"/>
        <v>0</v>
      </c>
      <c r="L21" s="6">
        <v>1</v>
      </c>
      <c r="M21">
        <f t="shared" si="3"/>
        <v>0</v>
      </c>
      <c r="T21" s="6">
        <v>1</v>
      </c>
      <c r="W21">
        <f t="shared" si="8"/>
        <v>0</v>
      </c>
      <c r="AE21" s="6">
        <f t="shared" si="11"/>
        <v>0</v>
      </c>
      <c r="AJ21" s="6">
        <v>1</v>
      </c>
      <c r="AM21">
        <f t="shared" si="14"/>
        <v>0</v>
      </c>
      <c r="AR21" s="6">
        <v>1</v>
      </c>
      <c r="AU21">
        <f t="shared" si="17"/>
        <v>0</v>
      </c>
      <c r="AZ21" s="6">
        <v>1</v>
      </c>
      <c r="BC21">
        <f t="shared" si="20"/>
        <v>0</v>
      </c>
      <c r="BH21" s="6">
        <v>1</v>
      </c>
      <c r="BK21" s="3">
        <f t="shared" si="23"/>
        <v>0</v>
      </c>
      <c r="BP21" s="6">
        <v>0.8</v>
      </c>
      <c r="BS21">
        <f t="shared" si="26"/>
        <v>0.39999999999999997</v>
      </c>
    </row>
    <row r="22" spans="4:71" s="6" customFormat="1" x14ac:dyDescent="0.2">
      <c r="D22" s="6">
        <v>1</v>
      </c>
      <c r="E22" s="3"/>
      <c r="F22" s="3"/>
      <c r="G22" s="3">
        <f t="shared" si="28"/>
        <v>0</v>
      </c>
      <c r="L22" s="6">
        <v>1</v>
      </c>
      <c r="M22">
        <f t="shared" si="3"/>
        <v>0</v>
      </c>
      <c r="T22" s="6">
        <v>1</v>
      </c>
      <c r="W22">
        <f t="shared" si="8"/>
        <v>0</v>
      </c>
      <c r="AE22" s="6">
        <f t="shared" si="11"/>
        <v>0</v>
      </c>
      <c r="AJ22" s="6">
        <v>1</v>
      </c>
      <c r="AM22">
        <f t="shared" si="14"/>
        <v>0</v>
      </c>
      <c r="AR22" s="6">
        <v>1</v>
      </c>
      <c r="AU22">
        <f t="shared" si="17"/>
        <v>0</v>
      </c>
      <c r="AZ22" s="6">
        <v>0.9</v>
      </c>
      <c r="BC22">
        <f t="shared" si="20"/>
        <v>0.3</v>
      </c>
      <c r="BH22" s="6">
        <v>1</v>
      </c>
      <c r="BK22" s="3">
        <f t="shared" si="23"/>
        <v>0</v>
      </c>
      <c r="BP22" s="6">
        <v>1</v>
      </c>
      <c r="BS22">
        <f t="shared" si="26"/>
        <v>0</v>
      </c>
    </row>
    <row r="23" spans="4:71" s="6" customFormat="1" x14ac:dyDescent="0.2">
      <c r="D23" s="6">
        <v>1</v>
      </c>
      <c r="E23" s="3"/>
      <c r="F23" s="3"/>
      <c r="G23" s="3">
        <f t="shared" si="28"/>
        <v>0</v>
      </c>
      <c r="L23" s="6">
        <v>1</v>
      </c>
      <c r="M23">
        <f t="shared" si="3"/>
        <v>0</v>
      </c>
      <c r="T23" s="6">
        <v>0.8</v>
      </c>
      <c r="W23">
        <f t="shared" si="8"/>
        <v>0.39999999999999997</v>
      </c>
      <c r="AE23" s="6">
        <f t="shared" si="11"/>
        <v>0.39999999999999997</v>
      </c>
      <c r="AJ23" s="6">
        <v>1</v>
      </c>
      <c r="AM23">
        <f t="shared" si="14"/>
        <v>0</v>
      </c>
      <c r="AR23" s="6">
        <v>0.7</v>
      </c>
      <c r="AU23">
        <f t="shared" si="17"/>
        <v>0.45825756949558405</v>
      </c>
      <c r="AZ23" s="6">
        <v>1</v>
      </c>
      <c r="BC23">
        <f t="shared" si="20"/>
        <v>0</v>
      </c>
      <c r="BH23" s="6">
        <v>0.9</v>
      </c>
      <c r="BK23" s="3">
        <f t="shared" si="23"/>
        <v>0.3</v>
      </c>
      <c r="BP23" s="6">
        <v>0.8</v>
      </c>
      <c r="BS23">
        <f t="shared" si="26"/>
        <v>0.39999999999999997</v>
      </c>
    </row>
    <row r="24" spans="4:71" s="6" customFormat="1" x14ac:dyDescent="0.2">
      <c r="D24" s="6">
        <v>1</v>
      </c>
      <c r="E24" s="3"/>
      <c r="F24" s="3"/>
      <c r="G24" s="3">
        <f t="shared" si="28"/>
        <v>0</v>
      </c>
      <c r="L24" s="6">
        <v>1</v>
      </c>
      <c r="M24">
        <f t="shared" si="3"/>
        <v>0</v>
      </c>
      <c r="T24" s="6">
        <v>1</v>
      </c>
      <c r="W24">
        <f t="shared" si="8"/>
        <v>0</v>
      </c>
      <c r="AE24" s="6">
        <f t="shared" si="11"/>
        <v>0</v>
      </c>
      <c r="AJ24" s="6">
        <v>1</v>
      </c>
      <c r="AM24">
        <f>SQRT($AJ24*(1-$AJ24))</f>
        <v>0</v>
      </c>
      <c r="AR24" s="6">
        <v>1</v>
      </c>
      <c r="AU24">
        <f t="shared" si="17"/>
        <v>0</v>
      </c>
      <c r="AZ24" s="6">
        <v>1</v>
      </c>
      <c r="BC24">
        <f t="shared" si="20"/>
        <v>0</v>
      </c>
      <c r="BH24" s="6">
        <v>1</v>
      </c>
      <c r="BK24" s="3">
        <f t="shared" si="23"/>
        <v>0</v>
      </c>
      <c r="BP24" s="6">
        <v>1</v>
      </c>
      <c r="BS24">
        <f t="shared" si="26"/>
        <v>0</v>
      </c>
    </row>
    <row r="25" spans="4:71" s="6" customFormat="1" x14ac:dyDescent="0.2">
      <c r="D25" s="6">
        <v>1</v>
      </c>
      <c r="E25" s="3"/>
      <c r="F25" s="3"/>
      <c r="G25" s="3">
        <f t="shared" si="28"/>
        <v>0</v>
      </c>
      <c r="L25" s="6">
        <v>1</v>
      </c>
      <c r="M25">
        <f t="shared" si="3"/>
        <v>0</v>
      </c>
      <c r="T25" s="6">
        <v>1</v>
      </c>
      <c r="W25">
        <f t="shared" si="8"/>
        <v>0</v>
      </c>
      <c r="AE25" s="6">
        <f t="shared" si="11"/>
        <v>0</v>
      </c>
      <c r="AJ25" s="6">
        <v>1</v>
      </c>
      <c r="AM25">
        <f t="shared" si="14"/>
        <v>0</v>
      </c>
      <c r="AO25" s="6" t="s">
        <v>179</v>
      </c>
      <c r="AR25" s="6">
        <v>1</v>
      </c>
      <c r="AU25">
        <f t="shared" si="17"/>
        <v>0</v>
      </c>
      <c r="AZ25" s="6">
        <v>1</v>
      </c>
      <c r="BC25">
        <f t="shared" si="20"/>
        <v>0</v>
      </c>
      <c r="BH25" s="6">
        <v>1</v>
      </c>
      <c r="BK25" s="3">
        <f t="shared" si="23"/>
        <v>0</v>
      </c>
      <c r="BP25" s="6">
        <v>1</v>
      </c>
      <c r="BS25">
        <f t="shared" si="26"/>
        <v>0</v>
      </c>
    </row>
    <row r="26" spans="4:71" s="6" customFormat="1" x14ac:dyDescent="0.2">
      <c r="D26" s="6">
        <v>0.9</v>
      </c>
      <c r="E26" s="3"/>
      <c r="F26" s="3"/>
      <c r="G26" s="3">
        <f t="shared" si="28"/>
        <v>0.3</v>
      </c>
      <c r="L26" s="6">
        <v>1</v>
      </c>
      <c r="M26">
        <f t="shared" si="3"/>
        <v>0</v>
      </c>
      <c r="T26" s="6">
        <v>1</v>
      </c>
      <c r="W26">
        <f t="shared" si="8"/>
        <v>0</v>
      </c>
      <c r="AE26" s="6">
        <f t="shared" si="11"/>
        <v>0</v>
      </c>
      <c r="AJ26" s="6">
        <v>1</v>
      </c>
      <c r="AK26" s="6" t="s">
        <v>35</v>
      </c>
      <c r="AM26">
        <f t="shared" si="14"/>
        <v>0</v>
      </c>
      <c r="AR26" s="6">
        <v>1</v>
      </c>
      <c r="AU26">
        <f t="shared" si="17"/>
        <v>0</v>
      </c>
      <c r="AZ26" s="6">
        <v>1</v>
      </c>
      <c r="BC26">
        <f t="shared" si="20"/>
        <v>0</v>
      </c>
      <c r="BH26" s="6">
        <v>1</v>
      </c>
      <c r="BK26" s="3">
        <f t="shared" si="23"/>
        <v>0</v>
      </c>
      <c r="BP26" s="6">
        <v>1</v>
      </c>
      <c r="BS26">
        <f t="shared" si="26"/>
        <v>0</v>
      </c>
    </row>
    <row r="27" spans="4:71" s="6" customFormat="1" x14ac:dyDescent="0.2">
      <c r="D27" s="6">
        <v>1</v>
      </c>
      <c r="E27" s="3"/>
      <c r="F27" s="3"/>
      <c r="G27" s="3">
        <f t="shared" si="28"/>
        <v>0</v>
      </c>
      <c r="L27" s="6">
        <v>1</v>
      </c>
      <c r="M27">
        <f t="shared" si="3"/>
        <v>0</v>
      </c>
      <c r="T27" s="6">
        <v>1</v>
      </c>
      <c r="W27">
        <f t="shared" si="8"/>
        <v>0</v>
      </c>
      <c r="AE27" s="6">
        <f t="shared" si="11"/>
        <v>0</v>
      </c>
      <c r="AJ27" s="6">
        <v>1</v>
      </c>
      <c r="AM27">
        <f t="shared" si="14"/>
        <v>0</v>
      </c>
      <c r="AR27" s="6">
        <v>1</v>
      </c>
      <c r="AU27">
        <f t="shared" si="17"/>
        <v>0</v>
      </c>
      <c r="AZ27" s="6">
        <v>1</v>
      </c>
      <c r="BC27">
        <f t="shared" si="20"/>
        <v>0</v>
      </c>
      <c r="BH27" s="6">
        <v>1</v>
      </c>
      <c r="BK27" s="3">
        <f t="shared" si="23"/>
        <v>0</v>
      </c>
      <c r="BP27" s="6">
        <v>1</v>
      </c>
      <c r="BS27">
        <f t="shared" si="26"/>
        <v>0</v>
      </c>
    </row>
    <row r="28" spans="4:71" s="6" customFormat="1" x14ac:dyDescent="0.2">
      <c r="D28" s="6">
        <v>1</v>
      </c>
      <c r="E28" s="3"/>
      <c r="F28" s="3"/>
      <c r="G28" s="3">
        <f t="shared" si="28"/>
        <v>0</v>
      </c>
      <c r="L28" s="6">
        <v>1</v>
      </c>
      <c r="M28">
        <f t="shared" si="3"/>
        <v>0</v>
      </c>
      <c r="T28" s="6">
        <v>1</v>
      </c>
      <c r="W28">
        <f t="shared" si="8"/>
        <v>0</v>
      </c>
      <c r="AE28" s="6">
        <f t="shared" si="11"/>
        <v>0</v>
      </c>
      <c r="AJ28" s="6">
        <v>1</v>
      </c>
      <c r="AM28">
        <f t="shared" si="14"/>
        <v>0</v>
      </c>
      <c r="AR28" s="6">
        <v>1</v>
      </c>
      <c r="AU28">
        <f t="shared" si="17"/>
        <v>0</v>
      </c>
      <c r="AZ28" s="6">
        <v>0.4</v>
      </c>
      <c r="BA28" s="5" t="s">
        <v>27</v>
      </c>
      <c r="BC28">
        <f t="shared" si="20"/>
        <v>0.4898979485566356</v>
      </c>
      <c r="BH28" s="6">
        <v>1</v>
      </c>
      <c r="BK28" s="3">
        <f t="shared" si="23"/>
        <v>0</v>
      </c>
      <c r="BP28" s="6">
        <v>1</v>
      </c>
      <c r="BS28">
        <f t="shared" si="26"/>
        <v>0</v>
      </c>
    </row>
    <row r="29" spans="4:71" s="6" customFormat="1" x14ac:dyDescent="0.2">
      <c r="D29" s="6">
        <v>0.4</v>
      </c>
      <c r="E29" s="3"/>
      <c r="F29" s="3"/>
      <c r="G29" s="3">
        <f t="shared" si="28"/>
        <v>0.4898979485566356</v>
      </c>
      <c r="L29" s="6">
        <v>1</v>
      </c>
      <c r="M29">
        <f t="shared" si="3"/>
        <v>0</v>
      </c>
      <c r="T29" s="6">
        <v>0.8</v>
      </c>
      <c r="W29">
        <f t="shared" si="8"/>
        <v>0.39999999999999997</v>
      </c>
      <c r="AE29" s="6">
        <f t="shared" si="11"/>
        <v>0.39999999999999997</v>
      </c>
      <c r="AJ29" s="6">
        <v>0.3</v>
      </c>
      <c r="AM29">
        <f t="shared" si="14"/>
        <v>0.45825756949558399</v>
      </c>
      <c r="AR29" s="6">
        <v>0</v>
      </c>
      <c r="AS29" s="5" t="s">
        <v>33</v>
      </c>
      <c r="AU29">
        <f t="shared" si="17"/>
        <v>0</v>
      </c>
      <c r="AZ29" s="6">
        <v>1</v>
      </c>
      <c r="BC29">
        <f t="shared" si="20"/>
        <v>0</v>
      </c>
      <c r="BH29" s="6">
        <v>1</v>
      </c>
      <c r="BK29" s="3">
        <f t="shared" si="23"/>
        <v>0</v>
      </c>
      <c r="BP29" s="6">
        <v>0.7</v>
      </c>
      <c r="BS29">
        <f t="shared" si="26"/>
        <v>0.45825756949558405</v>
      </c>
    </row>
    <row r="30" spans="4:71" s="6" customFormat="1" x14ac:dyDescent="0.2">
      <c r="D30" s="6">
        <v>0.1</v>
      </c>
      <c r="E30" s="3"/>
      <c r="F30" s="3"/>
      <c r="G30" s="3">
        <f t="shared" si="28"/>
        <v>0.30000000000000004</v>
      </c>
      <c r="L30" s="6">
        <v>1</v>
      </c>
      <c r="M30">
        <f t="shared" si="3"/>
        <v>0</v>
      </c>
      <c r="T30" s="6">
        <v>1</v>
      </c>
      <c r="W30">
        <f>SQRT($T30*(1-$T30))</f>
        <v>0</v>
      </c>
      <c r="AE30" s="6">
        <f t="shared" si="11"/>
        <v>0</v>
      </c>
      <c r="AJ30" s="6">
        <v>1</v>
      </c>
      <c r="AM30">
        <f t="shared" si="14"/>
        <v>0</v>
      </c>
      <c r="AR30" s="6">
        <v>1</v>
      </c>
      <c r="AU30">
        <f t="shared" si="17"/>
        <v>0</v>
      </c>
      <c r="AZ30" s="6">
        <v>1</v>
      </c>
      <c r="BC30">
        <f t="shared" si="20"/>
        <v>0</v>
      </c>
      <c r="BH30" s="6">
        <v>1</v>
      </c>
      <c r="BK30" s="3">
        <f t="shared" si="23"/>
        <v>0</v>
      </c>
      <c r="BP30" s="6">
        <v>1</v>
      </c>
      <c r="BS30">
        <f t="shared" si="26"/>
        <v>0</v>
      </c>
    </row>
    <row r="31" spans="4:71" s="6" customFormat="1" x14ac:dyDescent="0.2">
      <c r="D31" s="6">
        <v>1</v>
      </c>
      <c r="E31" s="3"/>
      <c r="F31" s="3"/>
      <c r="G31" s="3">
        <f t="shared" si="28"/>
        <v>0</v>
      </c>
      <c r="L31" s="6">
        <v>1</v>
      </c>
      <c r="M31">
        <f t="shared" si="3"/>
        <v>0</v>
      </c>
      <c r="T31" s="6">
        <v>1</v>
      </c>
      <c r="W31">
        <f t="shared" si="8"/>
        <v>0</v>
      </c>
      <c r="AE31" s="6">
        <f t="shared" si="11"/>
        <v>0</v>
      </c>
      <c r="AJ31" s="6">
        <v>0.7</v>
      </c>
      <c r="AM31">
        <f t="shared" si="14"/>
        <v>0.45825756949558405</v>
      </c>
      <c r="AR31" s="6">
        <v>1</v>
      </c>
      <c r="AU31">
        <f t="shared" si="17"/>
        <v>0</v>
      </c>
      <c r="AZ31" s="6">
        <v>1</v>
      </c>
      <c r="BC31">
        <f t="shared" si="20"/>
        <v>0</v>
      </c>
      <c r="BH31" s="6">
        <v>0.9</v>
      </c>
      <c r="BK31" s="3">
        <f t="shared" si="23"/>
        <v>0.3</v>
      </c>
      <c r="BP31" s="6">
        <v>0.9</v>
      </c>
      <c r="BS31">
        <f t="shared" si="26"/>
        <v>0.3</v>
      </c>
    </row>
    <row r="32" spans="4:71" s="6" customFormat="1" x14ac:dyDescent="0.2">
      <c r="D32" s="6">
        <v>0.5</v>
      </c>
      <c r="E32" s="3"/>
      <c r="F32" s="3"/>
      <c r="G32" s="3">
        <f t="shared" si="28"/>
        <v>0.5</v>
      </c>
      <c r="L32" s="6">
        <v>1</v>
      </c>
      <c r="M32">
        <f t="shared" si="3"/>
        <v>0</v>
      </c>
      <c r="T32" s="6">
        <v>1</v>
      </c>
      <c r="W32">
        <f t="shared" si="8"/>
        <v>0</v>
      </c>
      <c r="AE32" s="6">
        <f t="shared" si="11"/>
        <v>0</v>
      </c>
      <c r="AJ32" s="6">
        <v>0.3</v>
      </c>
      <c r="AK32" s="5" t="s">
        <v>36</v>
      </c>
      <c r="AM32">
        <f t="shared" si="14"/>
        <v>0.45825756949558399</v>
      </c>
      <c r="AR32" s="6">
        <v>1</v>
      </c>
      <c r="AS32" s="5" t="s">
        <v>29</v>
      </c>
      <c r="AU32">
        <f t="shared" si="17"/>
        <v>0</v>
      </c>
      <c r="AZ32" s="6">
        <v>1</v>
      </c>
      <c r="BC32">
        <f t="shared" si="20"/>
        <v>0</v>
      </c>
      <c r="BH32" s="6">
        <v>1</v>
      </c>
      <c r="BK32" s="3">
        <f t="shared" si="23"/>
        <v>0</v>
      </c>
      <c r="BP32" s="6">
        <v>0.2</v>
      </c>
      <c r="BQ32" s="5" t="s">
        <v>36</v>
      </c>
      <c r="BS32">
        <f t="shared" si="26"/>
        <v>0.4</v>
      </c>
    </row>
    <row r="33" spans="1:71" s="6" customFormat="1" x14ac:dyDescent="0.2">
      <c r="D33" s="6">
        <v>0.6</v>
      </c>
      <c r="E33" s="3"/>
      <c r="F33" s="3"/>
      <c r="G33" s="3">
        <f t="shared" si="28"/>
        <v>0.4898979485566356</v>
      </c>
      <c r="L33" s="6">
        <v>1</v>
      </c>
      <c r="M33">
        <f t="shared" si="3"/>
        <v>0</v>
      </c>
      <c r="T33" s="6">
        <v>1</v>
      </c>
      <c r="W33">
        <f t="shared" si="8"/>
        <v>0</v>
      </c>
      <c r="AE33" s="6">
        <f t="shared" si="11"/>
        <v>0</v>
      </c>
      <c r="AJ33" s="6">
        <v>1</v>
      </c>
      <c r="AM33">
        <f t="shared" si="14"/>
        <v>0</v>
      </c>
      <c r="AR33" s="6">
        <v>1</v>
      </c>
      <c r="AU33">
        <f t="shared" si="17"/>
        <v>0</v>
      </c>
      <c r="AZ33" s="6">
        <v>1</v>
      </c>
      <c r="BC33">
        <f t="shared" si="20"/>
        <v>0</v>
      </c>
      <c r="BH33" s="6">
        <v>1</v>
      </c>
      <c r="BK33" s="3">
        <f t="shared" si="23"/>
        <v>0</v>
      </c>
      <c r="BP33" s="6">
        <v>1</v>
      </c>
      <c r="BS33">
        <f t="shared" si="26"/>
        <v>0</v>
      </c>
    </row>
    <row r="34" spans="1:71" s="6" customFormat="1" x14ac:dyDescent="0.2">
      <c r="D34" s="6">
        <v>1</v>
      </c>
      <c r="E34" s="3"/>
      <c r="F34" s="3"/>
      <c r="G34" s="3">
        <f t="shared" si="28"/>
        <v>0</v>
      </c>
      <c r="L34" s="6">
        <v>1</v>
      </c>
      <c r="M34">
        <f t="shared" si="3"/>
        <v>0</v>
      </c>
      <c r="T34" s="6">
        <v>1</v>
      </c>
      <c r="W34">
        <f t="shared" si="8"/>
        <v>0</v>
      </c>
      <c r="AE34" s="6">
        <f t="shared" si="11"/>
        <v>0</v>
      </c>
      <c r="AJ34" s="6">
        <v>1</v>
      </c>
      <c r="AM34">
        <f t="shared" si="14"/>
        <v>0</v>
      </c>
      <c r="AR34" s="6">
        <v>1</v>
      </c>
      <c r="AU34">
        <f t="shared" si="17"/>
        <v>0</v>
      </c>
      <c r="AZ34" s="6">
        <v>1</v>
      </c>
      <c r="BC34">
        <f t="shared" si="20"/>
        <v>0</v>
      </c>
      <c r="BH34" s="6">
        <v>1</v>
      </c>
      <c r="BK34" s="3">
        <f t="shared" si="23"/>
        <v>0</v>
      </c>
      <c r="BP34" s="6">
        <v>1</v>
      </c>
      <c r="BS34">
        <f t="shared" si="26"/>
        <v>0</v>
      </c>
    </row>
    <row r="35" spans="1:71" s="6" customFormat="1" x14ac:dyDescent="0.2">
      <c r="D35" s="6">
        <v>0.3</v>
      </c>
      <c r="E35" s="3"/>
      <c r="F35" s="3"/>
      <c r="G35" s="3">
        <f t="shared" si="28"/>
        <v>0.45825756949558399</v>
      </c>
      <c r="L35" s="6">
        <v>1</v>
      </c>
      <c r="M35">
        <f t="shared" si="3"/>
        <v>0</v>
      </c>
      <c r="T35" s="6">
        <v>1</v>
      </c>
      <c r="W35">
        <f t="shared" si="8"/>
        <v>0</v>
      </c>
      <c r="AE35" s="6">
        <f t="shared" si="11"/>
        <v>0</v>
      </c>
      <c r="AJ35" s="6">
        <v>1</v>
      </c>
      <c r="AM35">
        <f t="shared" si="14"/>
        <v>0</v>
      </c>
      <c r="AR35" s="6">
        <v>1</v>
      </c>
      <c r="AU35">
        <f t="shared" si="17"/>
        <v>0</v>
      </c>
      <c r="AZ35" s="6">
        <v>1</v>
      </c>
      <c r="BC35">
        <f t="shared" si="20"/>
        <v>0</v>
      </c>
      <c r="BH35" s="6">
        <v>1</v>
      </c>
      <c r="BK35" s="3">
        <f t="shared" si="23"/>
        <v>0</v>
      </c>
      <c r="BP35" s="6">
        <v>1</v>
      </c>
      <c r="BS35">
        <f t="shared" si="26"/>
        <v>0</v>
      </c>
    </row>
    <row r="36" spans="1:71" s="6" customFormat="1" x14ac:dyDescent="0.2">
      <c r="D36" s="6">
        <v>1</v>
      </c>
      <c r="E36" s="3"/>
      <c r="F36" s="3"/>
      <c r="G36" s="3">
        <f t="shared" si="28"/>
        <v>0</v>
      </c>
      <c r="L36" s="6">
        <v>1</v>
      </c>
      <c r="M36">
        <f t="shared" si="3"/>
        <v>0</v>
      </c>
      <c r="T36" s="6">
        <v>1</v>
      </c>
      <c r="W36">
        <f t="shared" si="8"/>
        <v>0</v>
      </c>
      <c r="AE36" s="6">
        <f t="shared" si="11"/>
        <v>0</v>
      </c>
      <c r="AJ36" s="6">
        <v>1</v>
      </c>
      <c r="AM36">
        <f t="shared" si="14"/>
        <v>0</v>
      </c>
      <c r="AR36" s="6">
        <v>1</v>
      </c>
      <c r="AU36">
        <f t="shared" si="17"/>
        <v>0</v>
      </c>
      <c r="AZ36" s="6">
        <v>1</v>
      </c>
      <c r="BC36">
        <f t="shared" si="20"/>
        <v>0</v>
      </c>
      <c r="BH36" s="6">
        <v>1</v>
      </c>
      <c r="BK36" s="3">
        <f t="shared" si="23"/>
        <v>0</v>
      </c>
      <c r="BP36" s="6">
        <v>0.9</v>
      </c>
      <c r="BS36">
        <f t="shared" si="26"/>
        <v>0.3</v>
      </c>
    </row>
    <row r="37" spans="1:71" s="6" customFormat="1" x14ac:dyDescent="0.2">
      <c r="D37" s="6">
        <v>0</v>
      </c>
      <c r="E37" s="3"/>
      <c r="F37" s="3"/>
      <c r="G37" s="3">
        <f t="shared" si="28"/>
        <v>0</v>
      </c>
      <c r="L37" s="6">
        <v>1</v>
      </c>
      <c r="M37">
        <f t="shared" si="3"/>
        <v>0</v>
      </c>
      <c r="T37" s="6">
        <v>1</v>
      </c>
      <c r="W37">
        <f t="shared" si="8"/>
        <v>0</v>
      </c>
      <c r="AE37" s="6">
        <f t="shared" si="11"/>
        <v>0</v>
      </c>
      <c r="AJ37" s="6">
        <v>1</v>
      </c>
      <c r="AM37">
        <f t="shared" si="14"/>
        <v>0</v>
      </c>
      <c r="AR37" s="6">
        <v>1</v>
      </c>
      <c r="AU37">
        <f t="shared" si="17"/>
        <v>0</v>
      </c>
      <c r="AZ37" s="6">
        <v>1</v>
      </c>
      <c r="BC37">
        <f t="shared" si="20"/>
        <v>0</v>
      </c>
      <c r="BH37" s="6">
        <v>1</v>
      </c>
      <c r="BK37" s="3">
        <f t="shared" si="23"/>
        <v>0</v>
      </c>
      <c r="BP37" s="6">
        <v>1</v>
      </c>
      <c r="BS37">
        <f t="shared" si="26"/>
        <v>0</v>
      </c>
    </row>
    <row r="38" spans="1:71" s="6" customFormat="1" x14ac:dyDescent="0.2">
      <c r="D38" s="6">
        <v>1</v>
      </c>
      <c r="E38" s="3"/>
      <c r="F38" s="3"/>
      <c r="G38" s="3">
        <f t="shared" si="28"/>
        <v>0</v>
      </c>
      <c r="L38" s="6">
        <v>1</v>
      </c>
      <c r="M38">
        <f t="shared" si="3"/>
        <v>0</v>
      </c>
      <c r="T38" s="6">
        <v>1</v>
      </c>
      <c r="W38">
        <f t="shared" si="8"/>
        <v>0</v>
      </c>
      <c r="AE38" s="6">
        <f t="shared" si="11"/>
        <v>0</v>
      </c>
      <c r="AJ38" s="6">
        <v>1</v>
      </c>
      <c r="AK38" s="5" t="s">
        <v>30</v>
      </c>
      <c r="AM38">
        <f t="shared" si="14"/>
        <v>0</v>
      </c>
      <c r="AR38" s="6">
        <v>1</v>
      </c>
      <c r="AS38" s="5" t="s">
        <v>30</v>
      </c>
      <c r="AU38">
        <f t="shared" si="17"/>
        <v>0</v>
      </c>
      <c r="AZ38" s="6">
        <v>0.2</v>
      </c>
      <c r="BA38" s="5" t="s">
        <v>25</v>
      </c>
      <c r="BC38">
        <f t="shared" si="20"/>
        <v>0.4</v>
      </c>
      <c r="BH38" s="6">
        <v>1</v>
      </c>
      <c r="BK38" s="3">
        <f t="shared" si="23"/>
        <v>0</v>
      </c>
      <c r="BP38" s="6">
        <v>0.1</v>
      </c>
      <c r="BQ38" s="5" t="s">
        <v>30</v>
      </c>
      <c r="BS38">
        <f t="shared" si="26"/>
        <v>0.30000000000000004</v>
      </c>
    </row>
    <row r="39" spans="1:71" s="6" customFormat="1" x14ac:dyDescent="0.2">
      <c r="D39" s="6">
        <v>0</v>
      </c>
      <c r="E39" s="3"/>
      <c r="F39" s="3"/>
      <c r="G39" s="3">
        <f t="shared" si="28"/>
        <v>0</v>
      </c>
      <c r="L39" s="6">
        <v>1</v>
      </c>
      <c r="M39">
        <f t="shared" si="3"/>
        <v>0</v>
      </c>
      <c r="T39" s="6">
        <v>1</v>
      </c>
      <c r="W39">
        <f t="shared" si="8"/>
        <v>0</v>
      </c>
      <c r="AE39" s="6">
        <f t="shared" si="11"/>
        <v>0</v>
      </c>
      <c r="AJ39" s="6">
        <v>1</v>
      </c>
      <c r="AM39">
        <f t="shared" si="14"/>
        <v>0</v>
      </c>
      <c r="AR39" s="6">
        <v>1</v>
      </c>
      <c r="AU39">
        <f t="shared" si="17"/>
        <v>0</v>
      </c>
      <c r="AZ39" s="6">
        <v>1</v>
      </c>
      <c r="BC39">
        <f t="shared" si="20"/>
        <v>0</v>
      </c>
      <c r="BH39" s="6">
        <v>1</v>
      </c>
      <c r="BI39" s="5" t="s">
        <v>30</v>
      </c>
      <c r="BK39" s="3">
        <f t="shared" si="23"/>
        <v>0</v>
      </c>
      <c r="BP39" s="6">
        <v>1</v>
      </c>
      <c r="BS39">
        <f t="shared" si="26"/>
        <v>0</v>
      </c>
    </row>
    <row r="40" spans="1:71" s="6" customFormat="1" x14ac:dyDescent="0.2">
      <c r="D40" s="6">
        <v>0</v>
      </c>
      <c r="E40" s="3"/>
      <c r="F40" s="3"/>
      <c r="G40" s="3">
        <f t="shared" si="28"/>
        <v>0</v>
      </c>
      <c r="L40" s="6">
        <v>1</v>
      </c>
      <c r="M40">
        <f t="shared" si="3"/>
        <v>0</v>
      </c>
      <c r="T40" s="6">
        <v>1</v>
      </c>
      <c r="W40">
        <f t="shared" si="8"/>
        <v>0</v>
      </c>
      <c r="AE40" s="6">
        <f t="shared" si="11"/>
        <v>0</v>
      </c>
      <c r="AJ40" s="6">
        <v>1</v>
      </c>
      <c r="AM40">
        <f t="shared" si="14"/>
        <v>0</v>
      </c>
      <c r="AR40" s="6">
        <v>1</v>
      </c>
      <c r="AU40">
        <f t="shared" si="17"/>
        <v>0</v>
      </c>
      <c r="AZ40" s="6">
        <v>1</v>
      </c>
      <c r="BC40">
        <f t="shared" si="20"/>
        <v>0</v>
      </c>
      <c r="BH40" s="6">
        <v>1</v>
      </c>
      <c r="BK40" s="3">
        <f t="shared" si="23"/>
        <v>0</v>
      </c>
      <c r="BP40" s="6">
        <v>0</v>
      </c>
      <c r="BQ40" s="5" t="s">
        <v>34</v>
      </c>
      <c r="BS40">
        <f t="shared" si="26"/>
        <v>0</v>
      </c>
    </row>
    <row r="41" spans="1:71" s="6" customFormat="1" x14ac:dyDescent="0.2">
      <c r="D41" s="6">
        <v>1</v>
      </c>
      <c r="E41" s="3"/>
      <c r="F41" s="3"/>
      <c r="G41" s="3">
        <f t="shared" si="28"/>
        <v>0</v>
      </c>
      <c r="L41" s="6">
        <v>1</v>
      </c>
      <c r="M41">
        <f t="shared" si="3"/>
        <v>0</v>
      </c>
      <c r="T41" s="6">
        <v>1</v>
      </c>
      <c r="W41">
        <f t="shared" si="8"/>
        <v>0</v>
      </c>
      <c r="AE41" s="6">
        <f t="shared" si="11"/>
        <v>0</v>
      </c>
      <c r="AJ41" s="6">
        <v>1</v>
      </c>
      <c r="AK41" s="5" t="s">
        <v>34</v>
      </c>
      <c r="AM41">
        <f t="shared" si="14"/>
        <v>0</v>
      </c>
      <c r="AR41" s="6">
        <v>1</v>
      </c>
      <c r="AS41" s="5" t="s">
        <v>34</v>
      </c>
      <c r="AU41">
        <f t="shared" si="17"/>
        <v>0</v>
      </c>
      <c r="AZ41" s="6">
        <v>1</v>
      </c>
      <c r="BC41">
        <f t="shared" si="20"/>
        <v>0</v>
      </c>
      <c r="BH41" s="6">
        <v>1</v>
      </c>
      <c r="BK41" s="3">
        <f t="shared" si="23"/>
        <v>0</v>
      </c>
      <c r="BP41" s="6">
        <v>1</v>
      </c>
      <c r="BS41">
        <f t="shared" si="26"/>
        <v>0</v>
      </c>
    </row>
    <row r="42" spans="1:71" s="6" customFormat="1" x14ac:dyDescent="0.2">
      <c r="D42" s="6">
        <v>1</v>
      </c>
      <c r="E42" s="3"/>
      <c r="F42" s="3"/>
      <c r="G42" s="3">
        <f t="shared" si="28"/>
        <v>0</v>
      </c>
      <c r="L42" s="6">
        <v>1</v>
      </c>
      <c r="M42">
        <f t="shared" si="3"/>
        <v>0</v>
      </c>
      <c r="T42" s="6">
        <v>1</v>
      </c>
      <c r="W42">
        <f t="shared" si="8"/>
        <v>0</v>
      </c>
      <c r="AE42" s="6">
        <f t="shared" si="11"/>
        <v>0</v>
      </c>
      <c r="AJ42" s="6">
        <v>1</v>
      </c>
      <c r="AM42">
        <f t="shared" si="14"/>
        <v>0</v>
      </c>
      <c r="AR42" s="6">
        <v>1</v>
      </c>
      <c r="AU42">
        <f t="shared" si="17"/>
        <v>0</v>
      </c>
      <c r="AZ42" s="6">
        <v>0</v>
      </c>
      <c r="BA42" s="6" t="s">
        <v>26</v>
      </c>
      <c r="BC42">
        <f t="shared" si="20"/>
        <v>0</v>
      </c>
      <c r="BH42" s="6">
        <v>0</v>
      </c>
      <c r="BI42" s="5" t="s">
        <v>34</v>
      </c>
      <c r="BK42" s="3">
        <f t="shared" si="23"/>
        <v>0</v>
      </c>
      <c r="BP42" s="6">
        <v>0</v>
      </c>
      <c r="BQ42" s="5" t="s">
        <v>42</v>
      </c>
      <c r="BS42">
        <f t="shared" si="26"/>
        <v>0</v>
      </c>
    </row>
    <row r="43" spans="1:71" s="6" customFormat="1" x14ac:dyDescent="0.2">
      <c r="D43" s="6">
        <v>1</v>
      </c>
      <c r="E43" s="3"/>
      <c r="F43" s="3"/>
      <c r="G43" s="3">
        <f t="shared" si="28"/>
        <v>0</v>
      </c>
      <c r="L43" s="6">
        <v>1</v>
      </c>
      <c r="M43">
        <f t="shared" si="3"/>
        <v>0</v>
      </c>
      <c r="S43" s="5" t="s">
        <v>31</v>
      </c>
      <c r="T43" s="6">
        <v>0</v>
      </c>
      <c r="W43">
        <f t="shared" si="8"/>
        <v>0</v>
      </c>
      <c r="AE43" s="6">
        <f t="shared" si="11"/>
        <v>0</v>
      </c>
      <c r="AJ43" s="6">
        <v>0.1</v>
      </c>
      <c r="AK43" s="5" t="s">
        <v>31</v>
      </c>
      <c r="AM43">
        <f t="shared" si="14"/>
        <v>0.30000000000000004</v>
      </c>
      <c r="AR43" s="6">
        <v>0</v>
      </c>
      <c r="AS43" s="5" t="s">
        <v>31</v>
      </c>
      <c r="AU43">
        <f t="shared" si="17"/>
        <v>0</v>
      </c>
      <c r="AZ43" s="6">
        <v>1</v>
      </c>
      <c r="BC43">
        <f t="shared" si="20"/>
        <v>0</v>
      </c>
      <c r="BH43" s="6">
        <v>1</v>
      </c>
      <c r="BK43" s="3">
        <f t="shared" si="23"/>
        <v>0</v>
      </c>
      <c r="BP43" s="5">
        <v>0.1</v>
      </c>
      <c r="BS43">
        <f t="shared" si="26"/>
        <v>0.30000000000000004</v>
      </c>
    </row>
    <row r="44" spans="1:71" s="6" customFormat="1" x14ac:dyDescent="0.2">
      <c r="D44" s="6">
        <v>1</v>
      </c>
      <c r="E44" s="3"/>
      <c r="F44" s="3"/>
      <c r="G44" s="3">
        <f t="shared" si="28"/>
        <v>0</v>
      </c>
      <c r="L44" s="6">
        <v>1</v>
      </c>
      <c r="M44">
        <f t="shared" si="3"/>
        <v>0</v>
      </c>
      <c r="S44" s="5" t="s">
        <v>32</v>
      </c>
      <c r="T44" s="6">
        <v>0</v>
      </c>
      <c r="W44">
        <f t="shared" si="8"/>
        <v>0</v>
      </c>
      <c r="AE44" s="6">
        <f t="shared" si="11"/>
        <v>0</v>
      </c>
      <c r="AJ44" s="6">
        <v>0.1</v>
      </c>
      <c r="AK44" s="5" t="s">
        <v>31</v>
      </c>
      <c r="AM44">
        <f t="shared" si="14"/>
        <v>0.30000000000000004</v>
      </c>
      <c r="AR44" s="6">
        <v>1</v>
      </c>
      <c r="AS44" s="5" t="s">
        <v>32</v>
      </c>
      <c r="AU44">
        <f t="shared" si="17"/>
        <v>0</v>
      </c>
      <c r="AZ44" s="6">
        <v>1</v>
      </c>
      <c r="BC44">
        <f t="shared" si="20"/>
        <v>0</v>
      </c>
      <c r="BH44" s="6">
        <v>0</v>
      </c>
      <c r="BI44" s="5" t="s">
        <v>31</v>
      </c>
      <c r="BK44" s="3">
        <f t="shared" si="23"/>
        <v>0</v>
      </c>
      <c r="BS44"/>
    </row>
    <row r="45" spans="1:71" x14ac:dyDescent="0.2">
      <c r="B45" s="2">
        <f t="shared" ref="B45:G45" si="29">AVERAGE(B2:B44)</f>
        <v>0.96142857142857141</v>
      </c>
      <c r="C45" s="2">
        <f t="shared" si="29"/>
        <v>0.99285714285714288</v>
      </c>
      <c r="D45" s="2">
        <f>AVERAGE(D2:D44)</f>
        <v>0.81465116279069771</v>
      </c>
      <c r="E45" s="2">
        <f t="shared" si="29"/>
        <v>0.1136404876341339</v>
      </c>
      <c r="F45" s="2">
        <f t="shared" si="29"/>
        <v>2.1428571428571429E-2</v>
      </c>
      <c r="G45" s="2">
        <f t="shared" si="29"/>
        <v>0.10791129925655488</v>
      </c>
      <c r="J45" s="2">
        <f t="shared" ref="J45:O45" si="30">AVERAGE(J2:J44)</f>
        <v>0.97714285714285709</v>
      </c>
      <c r="K45" s="2">
        <f t="shared" si="30"/>
        <v>0.99857142857142855</v>
      </c>
      <c r="L45" s="2">
        <f t="shared" si="30"/>
        <v>0.98232558139534887</v>
      </c>
      <c r="M45" s="2">
        <f t="shared" si="30"/>
        <v>2.9807544562125182E-2</v>
      </c>
      <c r="N45" s="2">
        <f t="shared" si="30"/>
        <v>1.4214106244380293E-2</v>
      </c>
      <c r="O45" s="2">
        <f t="shared" si="30"/>
        <v>6.8701039988924475E-2</v>
      </c>
      <c r="R45" s="2">
        <f t="shared" ref="R45:W45" si="31">AVERAGE(R2:R44)</f>
        <v>0.95214285714285707</v>
      </c>
      <c r="S45" s="2" t="e">
        <f t="shared" si="31"/>
        <v>#DIV/0!</v>
      </c>
      <c r="T45" s="2">
        <f t="shared" si="31"/>
        <v>0.90976190476190477</v>
      </c>
      <c r="U45" s="2">
        <f t="shared" si="31"/>
        <v>0.16219306803379435</v>
      </c>
      <c r="V45" s="2" t="e">
        <f t="shared" si="31"/>
        <v>#VALUE!</v>
      </c>
      <c r="W45" s="2">
        <f t="shared" si="31"/>
        <v>5.289767321971401E-2</v>
      </c>
      <c r="Z45" s="2">
        <f>AVERAGE(Z2:Z15)</f>
        <v>1</v>
      </c>
      <c r="AA45" s="2">
        <f>AVERAGE(AA2:AA15)</f>
        <v>1</v>
      </c>
      <c r="AB45" s="2">
        <f>AVERAGE(AB2:AB15)</f>
        <v>1</v>
      </c>
      <c r="AC45" s="2" t="e">
        <f>AVERAGE(AC2:AC15)</f>
        <v>#REF!</v>
      </c>
      <c r="AD45" s="2" t="e">
        <f>AVERAGE(AD2:AD15)</f>
        <v>#VALUE!</v>
      </c>
      <c r="AE45" s="2" t="e">
        <f>AVERAGE(AE2:AE44)</f>
        <v>#REF!</v>
      </c>
      <c r="AH45" s="2">
        <f t="shared" ref="AH45:AM45" si="32">AVERAGE(AH2:AH44)</f>
        <v>0.91357142857142859</v>
      </c>
      <c r="AI45" s="2">
        <f>AVERAGE(AI2:AI15)</f>
        <v>0.83357142857142841</v>
      </c>
      <c r="AJ45" s="2">
        <f t="shared" si="32"/>
        <v>0.6804651162790698</v>
      </c>
      <c r="AK45" s="2">
        <f>AVERAGE(AK2:AK44)</f>
        <v>0.22425333723021978</v>
      </c>
      <c r="AL45" s="2">
        <f t="shared" si="32"/>
        <v>0.24987316237295037</v>
      </c>
      <c r="AM45" s="2">
        <f t="shared" si="32"/>
        <v>7.8445817215391553E-2</v>
      </c>
      <c r="AP45" s="2">
        <f>AVERAGE(AP2:AP15)</f>
        <v>0.97545454545454546</v>
      </c>
      <c r="AQ45" s="2">
        <f>AVERAGE(AQ2:AQ15)</f>
        <v>0.76857142857142868</v>
      </c>
      <c r="AR45" s="2">
        <f>AVERAGE(AR2:AR44)</f>
        <v>0.80824999999999991</v>
      </c>
      <c r="AS45" s="2">
        <f>AVERAGE(AS2:AS15)</f>
        <v>7.0922759332753618E-2</v>
      </c>
      <c r="AT45" s="2">
        <f>AVERAGE(AT2:AT15)</f>
        <v>5.2667859774238622E-2</v>
      </c>
      <c r="AU45" s="2">
        <f>AVERAGE(AU2:AU44)</f>
        <v>4.9264377578431856E-2</v>
      </c>
      <c r="AX45" s="2">
        <f>AVERAGE(AX2:AX15)</f>
        <v>0.89928571428571424</v>
      </c>
      <c r="AY45" s="2">
        <f>AVERAGE(AY2:AY15)</f>
        <v>0.94714285714285729</v>
      </c>
      <c r="AZ45" s="2">
        <f>AVERAGE(AZ2:AZ44)</f>
        <v>0.88046511627906976</v>
      </c>
      <c r="BA45" s="2">
        <f>AVERAGE(BA2:BA44)</f>
        <v>0.20795794740000564</v>
      </c>
      <c r="BB45" s="2">
        <f>AVERAGE(BB2:BB44)</f>
        <v>9.197379502872137E-2</v>
      </c>
      <c r="BC45" s="2">
        <f>AVERAGE(BC2:BC44)</f>
        <v>9.4235837589688953E-2</v>
      </c>
      <c r="BF45" s="2">
        <f t="shared" ref="BF45:BK45" si="33">AVERAGE(BF2:BF44)</f>
        <v>0.97785714285714298</v>
      </c>
      <c r="BG45" s="2">
        <f t="shared" si="33"/>
        <v>0.7857142857142857</v>
      </c>
      <c r="BH45" s="2">
        <f t="shared" si="33"/>
        <v>0.84375</v>
      </c>
      <c r="BI45" s="2">
        <f t="shared" si="33"/>
        <v>6.5140091022254584E-2</v>
      </c>
      <c r="BJ45" s="2">
        <f t="shared" si="33"/>
        <v>0</v>
      </c>
      <c r="BK45" s="2">
        <f t="shared" si="33"/>
        <v>4.3187707475049832E-2</v>
      </c>
      <c r="BN45" s="2">
        <f t="shared" ref="BN45:BS45" si="34">AVERAGE(BN2:BN44)</f>
        <v>0.85857142857142854</v>
      </c>
      <c r="BO45" s="2">
        <f t="shared" si="34"/>
        <v>0.97428571428571431</v>
      </c>
      <c r="BP45" s="2">
        <f t="shared" si="34"/>
        <v>0.75238095238095237</v>
      </c>
      <c r="BQ45" s="2">
        <f t="shared" si="34"/>
        <v>0.19046526483027432</v>
      </c>
      <c r="BR45" s="2">
        <f t="shared" si="34"/>
        <v>0.23360635244190733</v>
      </c>
      <c r="BS45" s="2">
        <f t="shared" si="34"/>
        <v>9.6485834127267509E-2</v>
      </c>
    </row>
    <row r="46" spans="1:71" x14ac:dyDescent="0.2">
      <c r="A46" t="s">
        <v>89</v>
      </c>
      <c r="E46" s="3" t="s">
        <v>102</v>
      </c>
      <c r="F46" s="3">
        <f t="shared" ref="F46:G46" si="35">SQRT(C45*(1-C45))</f>
        <v>8.4213043732511247E-2</v>
      </c>
      <c r="G46" s="3">
        <f t="shared" si="35"/>
        <v>0.38858029511860459</v>
      </c>
      <c r="I46" t="s">
        <v>89</v>
      </c>
      <c r="M46" s="3">
        <f>SQRT(J45*(1-J45))</f>
        <v>0.14944796377853753</v>
      </c>
      <c r="N46" s="3">
        <f t="shared" ref="N46:O46" si="36">SQRT(K45*(1-K45))</f>
        <v>3.7769440189721039E-2</v>
      </c>
      <c r="O46" s="3">
        <f t="shared" si="36"/>
        <v>0.13176506946698238</v>
      </c>
      <c r="Q46" t="s">
        <v>89</v>
      </c>
      <c r="R46">
        <f>AVERAGE(T45,R45)</f>
        <v>0.93095238095238098</v>
      </c>
      <c r="U46" s="3">
        <f>SQRT(R45*(1-R45))</f>
        <v>0.21346390030797699</v>
      </c>
      <c r="V46" s="3"/>
      <c r="W46" s="3">
        <f t="shared" ref="W46" si="37">SQRT(T45*(1-T45))</f>
        <v>0.28652256700981804</v>
      </c>
      <c r="Y46" t="s">
        <v>89</v>
      </c>
      <c r="AG46" t="s">
        <v>89</v>
      </c>
      <c r="AH46">
        <f>AVERAGE(AI45,AJ45)</f>
        <v>0.75701827242524911</v>
      </c>
      <c r="AK46" s="3">
        <f>SQRT(AH45*(1-AH45))</f>
        <v>0.28099586023532047</v>
      </c>
      <c r="AL46" s="3">
        <f t="shared" ref="AL46:AM46" si="38">SQRT(AI45*(1-AI45))</f>
        <v>0.37246490041454433</v>
      </c>
      <c r="AM46" s="3">
        <f t="shared" si="38"/>
        <v>0.46629640981502507</v>
      </c>
      <c r="AO46" t="s">
        <v>89</v>
      </c>
      <c r="AS46" s="3">
        <f>SQRT(AP45*(1-AP45))</f>
        <v>0.15473517766368305</v>
      </c>
      <c r="AT46" s="3">
        <f t="shared" ref="AT46:AU46" si="39">SQRT(AQ45*(1-AQ45))</f>
        <v>0.42174564343345855</v>
      </c>
      <c r="AU46" s="3">
        <f t="shared" si="39"/>
        <v>0.39367745363431733</v>
      </c>
      <c r="AW46" t="s">
        <v>89</v>
      </c>
      <c r="BA46" s="3">
        <f>SQRT(AX45*(1-AX45))</f>
        <v>0.30095002636209717</v>
      </c>
      <c r="BB46" s="3">
        <f t="shared" ref="BB46:BC46" si="40">SQRT(AY45*(1-AY45))</f>
        <v>0.22374821855407545</v>
      </c>
      <c r="BC46" s="3">
        <f t="shared" si="40"/>
        <v>0.32441685420883104</v>
      </c>
      <c r="BE46" t="s">
        <v>89</v>
      </c>
      <c r="BI46" s="3">
        <f>SQRT(BF45*(1-BF45))</f>
        <v>0.14714805816050733</v>
      </c>
      <c r="BJ46" s="3">
        <f t="shared" ref="BJ46:BK46" si="41">SQRT(BG45*(1-BG45))</f>
        <v>0.41032590332414492</v>
      </c>
      <c r="BK46" s="3">
        <f t="shared" si="41"/>
        <v>0.36309218870694532</v>
      </c>
      <c r="BM46" t="s">
        <v>89</v>
      </c>
      <c r="BQ46" s="3">
        <f>SQRT(BN45*(1-BN45))</f>
        <v>0.34846309792034641</v>
      </c>
      <c r="BR46" s="3">
        <f t="shared" ref="BR46:BS46" si="42">SQRT(BO45*(1-BO45))</f>
        <v>0.1582815883938804</v>
      </c>
      <c r="BS46" s="3">
        <f t="shared" si="42"/>
        <v>0.43162930261427274</v>
      </c>
    </row>
    <row r="47" spans="1:71" x14ac:dyDescent="0.2">
      <c r="B47">
        <f>AVERAGE(B45,C45,D45)</f>
        <v>0.92297895902547067</v>
      </c>
      <c r="E47" s="3"/>
      <c r="F47" s="3"/>
      <c r="G47" s="3"/>
      <c r="J47">
        <f>AVERAGE(J45,K45,L45)</f>
        <v>0.98601328903654473</v>
      </c>
      <c r="M47" s="3"/>
      <c r="N47" s="3"/>
      <c r="O47" s="3"/>
      <c r="R47" t="e">
        <f>AVERAGE(R45,S45,T45)</f>
        <v>#DIV/0!</v>
      </c>
      <c r="U47" s="3"/>
      <c r="V47" s="3"/>
      <c r="W47" s="3"/>
      <c r="AH47">
        <f>AVERAGE(AH45,AI45,AJ45)</f>
        <v>0.80920265780730893</v>
      </c>
      <c r="AK47" s="3"/>
      <c r="AL47" s="3"/>
      <c r="AM47" s="3"/>
      <c r="AP47">
        <f>AVERAGE(AP45,AQ45,AR45)</f>
        <v>0.85075865800865813</v>
      </c>
      <c r="AS47" s="3"/>
      <c r="AT47" s="3"/>
      <c r="AU47" s="3"/>
      <c r="AX47">
        <f>AVERAGE(AX45,AY45,AZ45)</f>
        <v>0.90896456256921387</v>
      </c>
      <c r="BA47" s="3"/>
      <c r="BB47" s="3"/>
      <c r="BC47" s="3"/>
      <c r="BF47">
        <f>AVERAGE(BF45,BG45,BH45)</f>
        <v>0.86910714285714297</v>
      </c>
      <c r="BI47" s="3"/>
      <c r="BJ47" s="3"/>
      <c r="BK47" s="3"/>
      <c r="BN47">
        <f>AVERAGE(BN45,BO45,BP45)</f>
        <v>0.8617460317460317</v>
      </c>
      <c r="BQ47" s="3"/>
      <c r="BR47" s="3"/>
      <c r="BS47" s="3"/>
    </row>
    <row r="48" spans="1:71" x14ac:dyDescent="0.2">
      <c r="B48" t="s">
        <v>10</v>
      </c>
      <c r="R48" t="s">
        <v>22</v>
      </c>
      <c r="AG48" t="s">
        <v>7</v>
      </c>
      <c r="AO48" t="s">
        <v>13</v>
      </c>
    </row>
    <row r="49" spans="2:41" x14ac:dyDescent="0.2">
      <c r="B49" t="s">
        <v>11</v>
      </c>
      <c r="R49" t="s">
        <v>23</v>
      </c>
      <c r="AG49" t="s">
        <v>8</v>
      </c>
      <c r="AO49" t="s">
        <v>12</v>
      </c>
    </row>
    <row r="50" spans="2:41" x14ac:dyDescent="0.2">
      <c r="B50" s="5" t="s">
        <v>17</v>
      </c>
      <c r="AG50" t="s">
        <v>9</v>
      </c>
      <c r="AO50" t="s">
        <v>14</v>
      </c>
    </row>
    <row r="51" spans="2:41" x14ac:dyDescent="0.2">
      <c r="R51" t="s">
        <v>24</v>
      </c>
    </row>
    <row r="68" spans="1:49" x14ac:dyDescent="0.2">
      <c r="A68" t="s">
        <v>45</v>
      </c>
      <c r="B68" s="14" t="s">
        <v>180</v>
      </c>
      <c r="C68" s="14" t="s">
        <v>181</v>
      </c>
      <c r="D68" s="14" t="s">
        <v>182</v>
      </c>
    </row>
    <row r="69" spans="1:49" x14ac:dyDescent="0.2">
      <c r="A69" t="s">
        <v>183</v>
      </c>
      <c r="B69" s="15">
        <v>0.19046526483027432</v>
      </c>
      <c r="C69" s="15">
        <v>0.23360635244190733</v>
      </c>
      <c r="D69" s="15">
        <v>9.6485834127267509E-2</v>
      </c>
    </row>
    <row r="70" spans="1:49" x14ac:dyDescent="0.2">
      <c r="A70" t="s">
        <v>184</v>
      </c>
      <c r="B70" s="15">
        <v>0.1136404876341339</v>
      </c>
      <c r="C70" s="15">
        <v>2.1428571428571429E-2</v>
      </c>
      <c r="D70" s="15">
        <v>0.10791129925655488</v>
      </c>
    </row>
    <row r="71" spans="1:49" x14ac:dyDescent="0.2">
      <c r="A71" t="s">
        <v>84</v>
      </c>
      <c r="B71" s="16">
        <v>7.0922759332753618E-2</v>
      </c>
      <c r="C71" s="16">
        <v>5.2667859774238622E-2</v>
      </c>
      <c r="D71" s="16">
        <v>4.9264377578431856E-2</v>
      </c>
      <c r="AW71" t="s">
        <v>45</v>
      </c>
    </row>
    <row r="72" spans="1:49" x14ac:dyDescent="0.2">
      <c r="A72" t="s">
        <v>81</v>
      </c>
      <c r="B72" s="16">
        <v>0.22425333723021978</v>
      </c>
      <c r="C72" s="16">
        <v>0.24987316237295037</v>
      </c>
      <c r="D72" s="16">
        <v>7.8445817215391553E-2</v>
      </c>
    </row>
    <row r="73" spans="1:49" x14ac:dyDescent="0.2">
      <c r="A73" t="s">
        <v>82</v>
      </c>
      <c r="B73" s="16">
        <v>6.5140091022254584E-2</v>
      </c>
      <c r="C73" s="16">
        <v>0</v>
      </c>
      <c r="D73" s="16">
        <v>4.3187707475049832E-2</v>
      </c>
    </row>
    <row r="74" spans="1:49" x14ac:dyDescent="0.2">
      <c r="A74" t="s">
        <v>4</v>
      </c>
      <c r="B74" s="16">
        <v>0.16219306803379435</v>
      </c>
      <c r="C74" s="16" t="s">
        <v>85</v>
      </c>
      <c r="D74" s="16">
        <v>5.289767321971401E-2</v>
      </c>
    </row>
    <row r="75" spans="1:49" x14ac:dyDescent="0.2">
      <c r="A75" t="s">
        <v>83</v>
      </c>
      <c r="B75" s="16">
        <v>0.20795794740000564</v>
      </c>
      <c r="C75" s="16">
        <v>9.197379502872137E-2</v>
      </c>
      <c r="D75" s="16">
        <v>9.4235837589688953E-2</v>
      </c>
    </row>
    <row r="76" spans="1:49" x14ac:dyDescent="0.2">
      <c r="A76" t="s">
        <v>185</v>
      </c>
      <c r="B76" s="16">
        <v>2.9807544562125182E-2</v>
      </c>
      <c r="C76" s="16">
        <v>1.4214106244380293E-2</v>
      </c>
      <c r="D76" s="16">
        <v>6.8701039988924475E-2</v>
      </c>
    </row>
  </sheetData>
  <phoneticPr fontId="2" type="noConversion"/>
  <pageMargins left="0.7" right="0.7" top="0.75" bottom="0.75" header="0.3" footer="0.3"/>
  <pageSetup paperSize="9" orientation="portrait" horizontalDpi="0" verticalDpi="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6073-3358-8045-AD4F-8B7A4B7C9FAE}">
  <dimension ref="A2:AX92"/>
  <sheetViews>
    <sheetView tabSelected="1" topLeftCell="A41" zoomScale="106" workbookViewId="0">
      <selection activeCell="AQ5" sqref="AQ5:AS5"/>
    </sheetView>
  </sheetViews>
  <sheetFormatPr baseColWidth="10" defaultRowHeight="16" x14ac:dyDescent="0.2"/>
  <sheetData>
    <row r="2" spans="1:50" x14ac:dyDescent="0.2">
      <c r="E2" t="s">
        <v>160</v>
      </c>
      <c r="F2" t="s">
        <v>161</v>
      </c>
      <c r="G2" t="s">
        <v>103</v>
      </c>
    </row>
    <row r="5" spans="1:50" x14ac:dyDescent="0.2">
      <c r="A5" s="14"/>
      <c r="B5" s="50" t="s">
        <v>305</v>
      </c>
      <c r="C5" s="14" t="s">
        <v>304</v>
      </c>
      <c r="D5" s="14" t="s">
        <v>303</v>
      </c>
      <c r="E5" s="2"/>
      <c r="H5" s="50" t="s">
        <v>305</v>
      </c>
      <c r="I5" s="14" t="s">
        <v>304</v>
      </c>
      <c r="J5" s="14" t="s">
        <v>303</v>
      </c>
      <c r="M5" s="50" t="s">
        <v>305</v>
      </c>
      <c r="N5" s="14" t="s">
        <v>304</v>
      </c>
      <c r="O5" s="14" t="s">
        <v>303</v>
      </c>
      <c r="R5" s="50" t="s">
        <v>305</v>
      </c>
      <c r="S5" s="14" t="s">
        <v>304</v>
      </c>
      <c r="T5" s="14" t="s">
        <v>303</v>
      </c>
      <c r="W5" s="50" t="s">
        <v>305</v>
      </c>
      <c r="X5" s="14" t="s">
        <v>304</v>
      </c>
      <c r="Y5" s="14" t="s">
        <v>303</v>
      </c>
      <c r="AA5" s="5"/>
      <c r="AB5" s="50" t="s">
        <v>305</v>
      </c>
      <c r="AC5" s="14" t="s">
        <v>304</v>
      </c>
      <c r="AD5" s="14" t="s">
        <v>303</v>
      </c>
      <c r="AE5" s="14"/>
      <c r="AG5" s="50" t="s">
        <v>305</v>
      </c>
      <c r="AH5" s="14" t="s">
        <v>304</v>
      </c>
      <c r="AI5" s="14" t="s">
        <v>303</v>
      </c>
      <c r="AL5" s="50" t="s">
        <v>305</v>
      </c>
      <c r="AM5" s="14" t="s">
        <v>304</v>
      </c>
      <c r="AN5" s="14" t="s">
        <v>303</v>
      </c>
      <c r="AQ5" s="50" t="s">
        <v>305</v>
      </c>
      <c r="AR5" s="14" t="s">
        <v>304</v>
      </c>
      <c r="AS5" s="14" t="s">
        <v>303</v>
      </c>
      <c r="AT5" s="1"/>
      <c r="AU5" s="1"/>
      <c r="AV5" s="50" t="s">
        <v>305</v>
      </c>
      <c r="AW5" s="14" t="s">
        <v>304</v>
      </c>
      <c r="AX5" s="14" t="s">
        <v>303</v>
      </c>
    </row>
    <row r="6" spans="1:50" x14ac:dyDescent="0.2">
      <c r="A6" s="2" t="s">
        <v>50</v>
      </c>
      <c r="G6" s="2" t="s">
        <v>171</v>
      </c>
      <c r="H6" s="2"/>
      <c r="L6" s="2" t="s">
        <v>53</v>
      </c>
      <c r="Q6" s="2" t="s">
        <v>172</v>
      </c>
      <c r="S6" s="2"/>
      <c r="T6" s="2"/>
      <c r="V6" s="24" t="s">
        <v>162</v>
      </c>
      <c r="W6" s="24"/>
      <c r="Y6" s="24"/>
      <c r="AA6" s="40" t="s">
        <v>219</v>
      </c>
      <c r="AC6" s="2"/>
      <c r="AF6" s="2" t="s">
        <v>6</v>
      </c>
      <c r="AH6" s="2"/>
      <c r="AI6" s="2"/>
      <c r="AK6" s="2" t="s">
        <v>15</v>
      </c>
      <c r="AM6" s="2"/>
      <c r="AN6" s="2"/>
      <c r="AP6" s="40" t="s">
        <v>222</v>
      </c>
      <c r="AQ6" s="5"/>
      <c r="AR6" s="2"/>
      <c r="AS6" s="2"/>
      <c r="AU6" s="40" t="s">
        <v>236</v>
      </c>
    </row>
    <row r="7" spans="1:50" x14ac:dyDescent="0.2">
      <c r="A7" s="5">
        <v>62193.29</v>
      </c>
      <c r="B7">
        <v>1</v>
      </c>
      <c r="C7">
        <v>0.71</v>
      </c>
      <c r="D7">
        <v>1</v>
      </c>
      <c r="H7">
        <v>1</v>
      </c>
      <c r="I7">
        <v>1</v>
      </c>
      <c r="J7">
        <v>1</v>
      </c>
      <c r="L7" s="5" t="s">
        <v>220</v>
      </c>
      <c r="M7">
        <v>1</v>
      </c>
      <c r="N7">
        <v>0.89</v>
      </c>
      <c r="O7">
        <v>1</v>
      </c>
      <c r="Q7" s="5">
        <v>9084.9500000000007</v>
      </c>
      <c r="R7">
        <v>1</v>
      </c>
      <c r="S7">
        <v>0.92</v>
      </c>
      <c r="T7">
        <v>1</v>
      </c>
      <c r="V7" s="5">
        <v>61100.47</v>
      </c>
      <c r="W7">
        <v>1</v>
      </c>
      <c r="X7">
        <v>0.95</v>
      </c>
      <c r="Y7">
        <v>1</v>
      </c>
      <c r="AA7">
        <f>30448.8+44103</f>
        <v>74551.8</v>
      </c>
      <c r="AB7">
        <v>1</v>
      </c>
      <c r="AC7">
        <v>1</v>
      </c>
      <c r="AD7">
        <v>1</v>
      </c>
      <c r="AF7" s="5" t="s">
        <v>221</v>
      </c>
      <c r="AG7">
        <v>1</v>
      </c>
      <c r="AH7">
        <v>0.89</v>
      </c>
      <c r="AI7">
        <v>1</v>
      </c>
      <c r="AK7" s="5">
        <v>31490.53</v>
      </c>
      <c r="AL7">
        <v>1</v>
      </c>
      <c r="AM7">
        <v>0.97</v>
      </c>
      <c r="AN7">
        <v>1</v>
      </c>
      <c r="AP7" s="5">
        <v>63756</v>
      </c>
      <c r="AQ7">
        <v>1</v>
      </c>
      <c r="AR7">
        <v>0.97</v>
      </c>
      <c r="AS7">
        <v>1</v>
      </c>
      <c r="AU7" s="5">
        <f>68539+120565</f>
        <v>189104</v>
      </c>
      <c r="AV7">
        <v>1</v>
      </c>
      <c r="AW7">
        <v>1</v>
      </c>
      <c r="AX7">
        <v>1</v>
      </c>
    </row>
    <row r="8" spans="1:50" x14ac:dyDescent="0.2">
      <c r="B8">
        <v>1</v>
      </c>
      <c r="C8">
        <v>1</v>
      </c>
      <c r="D8">
        <v>0</v>
      </c>
      <c r="E8" s="5"/>
      <c r="H8">
        <v>1</v>
      </c>
      <c r="I8">
        <v>1</v>
      </c>
      <c r="J8">
        <v>1</v>
      </c>
      <c r="M8">
        <v>1</v>
      </c>
      <c r="N8">
        <v>0.99</v>
      </c>
      <c r="O8">
        <v>1</v>
      </c>
      <c r="R8">
        <v>1</v>
      </c>
      <c r="S8">
        <v>0.55000000000000004</v>
      </c>
      <c r="T8">
        <v>1</v>
      </c>
      <c r="W8">
        <v>0.61</v>
      </c>
      <c r="X8">
        <v>0.99</v>
      </c>
      <c r="Y8">
        <v>1</v>
      </c>
      <c r="AA8" s="5"/>
      <c r="AB8">
        <v>1</v>
      </c>
      <c r="AC8">
        <v>1</v>
      </c>
      <c r="AD8">
        <v>1</v>
      </c>
      <c r="AG8">
        <v>1</v>
      </c>
      <c r="AH8">
        <v>0.99</v>
      </c>
      <c r="AI8">
        <v>1</v>
      </c>
      <c r="AL8">
        <v>0.6</v>
      </c>
      <c r="AM8">
        <v>1</v>
      </c>
      <c r="AN8">
        <v>1</v>
      </c>
      <c r="AQ8">
        <v>1</v>
      </c>
      <c r="AR8">
        <v>1</v>
      </c>
      <c r="AS8">
        <v>0</v>
      </c>
      <c r="AU8" s="5"/>
      <c r="AV8">
        <v>1</v>
      </c>
      <c r="AW8">
        <v>1</v>
      </c>
      <c r="AX8">
        <v>1</v>
      </c>
    </row>
    <row r="9" spans="1:50" x14ac:dyDescent="0.2">
      <c r="B9">
        <v>1</v>
      </c>
      <c r="C9">
        <v>1</v>
      </c>
      <c r="D9">
        <v>1</v>
      </c>
      <c r="H9">
        <v>1</v>
      </c>
      <c r="I9">
        <v>1</v>
      </c>
      <c r="J9">
        <v>1</v>
      </c>
      <c r="M9">
        <v>1</v>
      </c>
      <c r="N9">
        <v>1</v>
      </c>
      <c r="O9">
        <v>1</v>
      </c>
      <c r="R9">
        <v>0.5</v>
      </c>
      <c r="S9">
        <v>1</v>
      </c>
      <c r="T9">
        <v>1</v>
      </c>
      <c r="W9">
        <v>1</v>
      </c>
      <c r="X9">
        <v>0.82</v>
      </c>
      <c r="Y9">
        <v>1</v>
      </c>
      <c r="AB9">
        <v>1</v>
      </c>
      <c r="AC9">
        <v>1</v>
      </c>
      <c r="AD9">
        <v>1</v>
      </c>
      <c r="AG9">
        <v>1</v>
      </c>
      <c r="AH9">
        <v>1</v>
      </c>
      <c r="AI9">
        <v>1</v>
      </c>
      <c r="AL9">
        <v>1</v>
      </c>
      <c r="AM9">
        <v>1</v>
      </c>
      <c r="AN9">
        <v>1</v>
      </c>
      <c r="AQ9">
        <v>1</v>
      </c>
      <c r="AR9">
        <v>0.95</v>
      </c>
      <c r="AS9">
        <v>1</v>
      </c>
      <c r="AV9">
        <v>1</v>
      </c>
      <c r="AW9">
        <v>1</v>
      </c>
      <c r="AX9">
        <v>1</v>
      </c>
    </row>
    <row r="10" spans="1:50" x14ac:dyDescent="0.2">
      <c r="B10">
        <v>0.89</v>
      </c>
      <c r="C10">
        <v>1</v>
      </c>
      <c r="D10">
        <v>1</v>
      </c>
      <c r="H10">
        <v>0.95</v>
      </c>
      <c r="I10">
        <v>1</v>
      </c>
      <c r="J10">
        <v>1</v>
      </c>
      <c r="M10">
        <v>1</v>
      </c>
      <c r="N10">
        <v>1</v>
      </c>
      <c r="O10">
        <v>1</v>
      </c>
      <c r="R10">
        <v>0.98</v>
      </c>
      <c r="S10">
        <v>0.56999999999999995</v>
      </c>
      <c r="T10">
        <v>0</v>
      </c>
      <c r="W10">
        <v>0.77</v>
      </c>
      <c r="X10">
        <v>0.96</v>
      </c>
      <c r="Y10">
        <v>0.86</v>
      </c>
      <c r="AB10">
        <v>1</v>
      </c>
      <c r="AC10">
        <v>1</v>
      </c>
      <c r="AD10">
        <v>1</v>
      </c>
      <c r="AG10">
        <v>1</v>
      </c>
      <c r="AH10">
        <v>0.9</v>
      </c>
      <c r="AI10">
        <v>1</v>
      </c>
      <c r="AL10">
        <v>0.77</v>
      </c>
      <c r="AM10">
        <v>0.99</v>
      </c>
      <c r="AN10">
        <v>1</v>
      </c>
      <c r="AP10" s="5"/>
      <c r="AQ10">
        <v>1</v>
      </c>
      <c r="AR10">
        <v>0.94</v>
      </c>
      <c r="AS10">
        <v>1</v>
      </c>
      <c r="AV10">
        <v>1</v>
      </c>
      <c r="AW10">
        <v>1</v>
      </c>
      <c r="AX10">
        <v>1</v>
      </c>
    </row>
    <row r="11" spans="1:50" x14ac:dyDescent="0.2">
      <c r="B11">
        <v>1</v>
      </c>
      <c r="C11" s="39">
        <v>1</v>
      </c>
      <c r="D11" s="39">
        <v>1</v>
      </c>
      <c r="E11" s="5"/>
      <c r="H11">
        <v>0.99</v>
      </c>
      <c r="I11">
        <v>1</v>
      </c>
      <c r="J11">
        <v>1</v>
      </c>
      <c r="M11">
        <v>1</v>
      </c>
      <c r="N11">
        <v>0.9</v>
      </c>
      <c r="O11">
        <v>1</v>
      </c>
      <c r="R11">
        <v>1</v>
      </c>
      <c r="S11">
        <v>0.57999999999999996</v>
      </c>
      <c r="T11">
        <v>1</v>
      </c>
      <c r="W11">
        <v>0.71</v>
      </c>
      <c r="X11">
        <v>0.97</v>
      </c>
      <c r="Y11">
        <v>1</v>
      </c>
      <c r="AB11">
        <v>1</v>
      </c>
      <c r="AC11">
        <v>1</v>
      </c>
      <c r="AD11">
        <v>1</v>
      </c>
      <c r="AG11">
        <v>0.99</v>
      </c>
      <c r="AH11">
        <v>0.99</v>
      </c>
      <c r="AI11">
        <v>0</v>
      </c>
      <c r="AL11">
        <v>0.73</v>
      </c>
      <c r="AM11">
        <v>1</v>
      </c>
      <c r="AN11">
        <v>1</v>
      </c>
      <c r="AQ11">
        <v>1</v>
      </c>
      <c r="AR11">
        <v>1</v>
      </c>
      <c r="AS11">
        <v>1</v>
      </c>
      <c r="AV11">
        <v>1</v>
      </c>
      <c r="AW11">
        <v>1</v>
      </c>
      <c r="AX11">
        <v>1</v>
      </c>
    </row>
    <row r="12" spans="1:50" x14ac:dyDescent="0.2">
      <c r="B12">
        <v>0.91</v>
      </c>
      <c r="C12">
        <v>1</v>
      </c>
      <c r="D12">
        <v>1</v>
      </c>
      <c r="H12">
        <v>0.96</v>
      </c>
      <c r="I12">
        <v>1</v>
      </c>
      <c r="J12">
        <v>1</v>
      </c>
      <c r="M12">
        <v>0.99</v>
      </c>
      <c r="N12">
        <v>0.99</v>
      </c>
      <c r="O12">
        <v>0</v>
      </c>
      <c r="R12">
        <v>1</v>
      </c>
      <c r="S12">
        <v>0.5</v>
      </c>
      <c r="T12">
        <v>0</v>
      </c>
      <c r="W12">
        <v>0.78</v>
      </c>
      <c r="X12">
        <v>0.93</v>
      </c>
      <c r="Y12">
        <v>1</v>
      </c>
      <c r="AB12">
        <v>1</v>
      </c>
      <c r="AC12">
        <v>1</v>
      </c>
      <c r="AD12">
        <v>1</v>
      </c>
      <c r="AG12">
        <v>1</v>
      </c>
      <c r="AH12">
        <v>0.9</v>
      </c>
      <c r="AI12">
        <v>0</v>
      </c>
      <c r="AL12">
        <v>0.83</v>
      </c>
      <c r="AM12">
        <v>1</v>
      </c>
      <c r="AN12">
        <v>1</v>
      </c>
      <c r="AQ12">
        <v>1</v>
      </c>
      <c r="AR12">
        <v>0.93</v>
      </c>
      <c r="AS12">
        <v>1</v>
      </c>
      <c r="AV12">
        <v>1</v>
      </c>
      <c r="AW12">
        <v>1</v>
      </c>
      <c r="AX12">
        <v>1</v>
      </c>
    </row>
    <row r="13" spans="1:50" x14ac:dyDescent="0.2">
      <c r="B13">
        <v>1</v>
      </c>
      <c r="C13">
        <v>1</v>
      </c>
      <c r="D13">
        <v>0.1</v>
      </c>
      <c r="H13">
        <v>0.89</v>
      </c>
      <c r="I13">
        <v>1</v>
      </c>
      <c r="J13">
        <v>1</v>
      </c>
      <c r="M13">
        <v>1</v>
      </c>
      <c r="N13">
        <v>0.9</v>
      </c>
      <c r="O13">
        <v>0</v>
      </c>
      <c r="R13">
        <v>1</v>
      </c>
      <c r="S13">
        <v>0.61</v>
      </c>
      <c r="T13">
        <v>1</v>
      </c>
      <c r="W13">
        <v>0.71</v>
      </c>
      <c r="X13">
        <v>0.96</v>
      </c>
      <c r="Y13">
        <v>0.14000000000000001</v>
      </c>
      <c r="AB13">
        <v>1</v>
      </c>
      <c r="AC13">
        <v>1</v>
      </c>
      <c r="AD13">
        <v>1</v>
      </c>
      <c r="AG13">
        <v>1</v>
      </c>
      <c r="AH13">
        <v>1</v>
      </c>
      <c r="AI13">
        <v>0</v>
      </c>
      <c r="AL13">
        <v>0.73</v>
      </c>
      <c r="AM13">
        <v>1</v>
      </c>
      <c r="AN13">
        <v>1</v>
      </c>
      <c r="AQ13">
        <v>1</v>
      </c>
      <c r="AR13">
        <v>0.99</v>
      </c>
      <c r="AS13">
        <v>0.95</v>
      </c>
      <c r="AV13">
        <v>1</v>
      </c>
      <c r="AW13">
        <v>1</v>
      </c>
      <c r="AX13">
        <v>1</v>
      </c>
    </row>
    <row r="14" spans="1:50" x14ac:dyDescent="0.2">
      <c r="B14">
        <v>1</v>
      </c>
      <c r="C14">
        <v>0.86</v>
      </c>
      <c r="D14">
        <v>0</v>
      </c>
      <c r="H14">
        <v>0.94</v>
      </c>
      <c r="I14">
        <v>1</v>
      </c>
      <c r="J14">
        <v>1</v>
      </c>
      <c r="M14">
        <v>1</v>
      </c>
      <c r="N14">
        <v>1</v>
      </c>
      <c r="O14">
        <v>0</v>
      </c>
      <c r="R14">
        <v>1</v>
      </c>
      <c r="S14">
        <v>0.64</v>
      </c>
      <c r="T14">
        <v>0</v>
      </c>
      <c r="W14">
        <v>0.71</v>
      </c>
      <c r="X14">
        <v>0.86</v>
      </c>
      <c r="Y14">
        <v>0</v>
      </c>
      <c r="AB14">
        <v>1</v>
      </c>
      <c r="AC14">
        <v>0.86</v>
      </c>
      <c r="AD14">
        <v>0</v>
      </c>
      <c r="AG14">
        <v>1</v>
      </c>
      <c r="AH14">
        <v>0.84</v>
      </c>
      <c r="AI14">
        <v>0</v>
      </c>
      <c r="AL14">
        <v>0.72</v>
      </c>
      <c r="AM14">
        <v>0.86</v>
      </c>
      <c r="AN14">
        <v>0</v>
      </c>
      <c r="AQ14">
        <v>1</v>
      </c>
      <c r="AR14">
        <v>0.86</v>
      </c>
      <c r="AS14">
        <v>0</v>
      </c>
      <c r="AV14">
        <v>1</v>
      </c>
      <c r="AW14">
        <v>0.86</v>
      </c>
      <c r="AX14">
        <v>0</v>
      </c>
    </row>
    <row r="15" spans="1:50" x14ac:dyDescent="0.2">
      <c r="B15">
        <v>1</v>
      </c>
      <c r="C15">
        <v>1</v>
      </c>
      <c r="D15">
        <v>1</v>
      </c>
      <c r="H15">
        <v>0.95</v>
      </c>
      <c r="I15">
        <v>1</v>
      </c>
      <c r="J15">
        <v>1</v>
      </c>
      <c r="M15">
        <v>1</v>
      </c>
      <c r="N15">
        <v>0.84</v>
      </c>
      <c r="O15">
        <v>0</v>
      </c>
      <c r="R15">
        <v>0.53</v>
      </c>
      <c r="S15">
        <v>1</v>
      </c>
      <c r="T15">
        <v>1</v>
      </c>
      <c r="W15">
        <v>1</v>
      </c>
      <c r="X15">
        <v>0.85</v>
      </c>
      <c r="Y15">
        <v>1</v>
      </c>
      <c r="AB15">
        <v>1</v>
      </c>
      <c r="AC15">
        <v>1</v>
      </c>
      <c r="AD15">
        <v>1</v>
      </c>
      <c r="AG15">
        <v>1</v>
      </c>
      <c r="AH15">
        <v>1</v>
      </c>
      <c r="AI15">
        <v>1</v>
      </c>
      <c r="AL15">
        <v>1</v>
      </c>
      <c r="AM15">
        <v>1</v>
      </c>
      <c r="AN15">
        <v>1</v>
      </c>
      <c r="AQ15">
        <v>1</v>
      </c>
      <c r="AR15">
        <v>1</v>
      </c>
      <c r="AS15">
        <v>1</v>
      </c>
      <c r="AV15">
        <v>1</v>
      </c>
      <c r="AW15">
        <v>1</v>
      </c>
      <c r="AX15">
        <v>1</v>
      </c>
    </row>
    <row r="16" spans="1:50" x14ac:dyDescent="0.2">
      <c r="B16">
        <v>1</v>
      </c>
      <c r="C16">
        <v>1</v>
      </c>
      <c r="D16">
        <v>0</v>
      </c>
      <c r="H16">
        <v>1</v>
      </c>
      <c r="I16">
        <v>1</v>
      </c>
      <c r="J16">
        <v>1</v>
      </c>
      <c r="M16">
        <v>1</v>
      </c>
      <c r="N16">
        <v>1</v>
      </c>
      <c r="O16">
        <v>1</v>
      </c>
      <c r="R16">
        <v>1</v>
      </c>
      <c r="S16">
        <v>0.5</v>
      </c>
      <c r="T16">
        <v>0</v>
      </c>
      <c r="W16">
        <v>0.75</v>
      </c>
      <c r="X16">
        <v>1</v>
      </c>
      <c r="Y16">
        <v>1</v>
      </c>
      <c r="AB16">
        <v>1</v>
      </c>
      <c r="AC16">
        <v>1</v>
      </c>
      <c r="AD16">
        <v>1</v>
      </c>
      <c r="AG16">
        <v>1</v>
      </c>
      <c r="AH16">
        <v>1</v>
      </c>
      <c r="AI16">
        <v>1</v>
      </c>
      <c r="AL16">
        <v>0.75</v>
      </c>
      <c r="AM16">
        <v>1</v>
      </c>
      <c r="AN16">
        <v>1</v>
      </c>
      <c r="AQ16">
        <v>1</v>
      </c>
      <c r="AR16">
        <v>0.99</v>
      </c>
      <c r="AS16">
        <v>1</v>
      </c>
      <c r="AV16">
        <v>1</v>
      </c>
      <c r="AW16">
        <v>1</v>
      </c>
      <c r="AX16">
        <v>1</v>
      </c>
    </row>
    <row r="17" spans="2:50" x14ac:dyDescent="0.2">
      <c r="B17">
        <v>1</v>
      </c>
      <c r="C17">
        <v>1</v>
      </c>
      <c r="D17">
        <v>1</v>
      </c>
      <c r="E17" s="3"/>
      <c r="H17">
        <v>1</v>
      </c>
      <c r="I17">
        <v>1</v>
      </c>
      <c r="J17">
        <v>1</v>
      </c>
      <c r="M17">
        <v>1</v>
      </c>
      <c r="N17">
        <v>1</v>
      </c>
      <c r="O17">
        <v>1</v>
      </c>
      <c r="R17">
        <v>1</v>
      </c>
      <c r="S17">
        <v>1</v>
      </c>
      <c r="T17">
        <v>1</v>
      </c>
      <c r="W17">
        <v>1</v>
      </c>
      <c r="X17">
        <v>1</v>
      </c>
      <c r="Y17">
        <v>1</v>
      </c>
      <c r="AB17">
        <v>1</v>
      </c>
      <c r="AC17">
        <v>1</v>
      </c>
      <c r="AD17">
        <v>1</v>
      </c>
      <c r="AG17">
        <v>1</v>
      </c>
      <c r="AH17">
        <v>1</v>
      </c>
      <c r="AI17">
        <v>0</v>
      </c>
      <c r="AL17">
        <v>1</v>
      </c>
      <c r="AM17">
        <v>1</v>
      </c>
      <c r="AN17">
        <v>1</v>
      </c>
      <c r="AQ17">
        <v>1</v>
      </c>
      <c r="AR17">
        <v>1</v>
      </c>
      <c r="AS17">
        <v>1</v>
      </c>
      <c r="AV17">
        <v>1</v>
      </c>
      <c r="AW17">
        <v>1</v>
      </c>
      <c r="AX17">
        <v>1</v>
      </c>
    </row>
    <row r="18" spans="2:50" x14ac:dyDescent="0.2">
      <c r="B18">
        <v>1</v>
      </c>
      <c r="C18">
        <v>1</v>
      </c>
      <c r="D18">
        <v>1</v>
      </c>
      <c r="E18" s="3"/>
      <c r="H18" s="3">
        <v>1</v>
      </c>
      <c r="I18">
        <v>1</v>
      </c>
      <c r="J18">
        <v>1</v>
      </c>
      <c r="M18">
        <v>1</v>
      </c>
      <c r="N18">
        <v>1</v>
      </c>
      <c r="O18">
        <v>0</v>
      </c>
      <c r="R18">
        <v>1</v>
      </c>
      <c r="S18">
        <v>0</v>
      </c>
      <c r="T18">
        <v>0</v>
      </c>
      <c r="W18">
        <v>1</v>
      </c>
      <c r="X18">
        <v>0.9</v>
      </c>
      <c r="Y18">
        <v>1</v>
      </c>
      <c r="AB18">
        <v>1</v>
      </c>
      <c r="AC18">
        <v>0.9</v>
      </c>
      <c r="AD18">
        <v>1</v>
      </c>
      <c r="AG18">
        <v>1</v>
      </c>
      <c r="AH18">
        <v>0.5</v>
      </c>
      <c r="AI18">
        <v>0</v>
      </c>
      <c r="AL18">
        <v>1</v>
      </c>
      <c r="AM18">
        <v>1</v>
      </c>
      <c r="AN18">
        <v>1</v>
      </c>
      <c r="AQ18">
        <v>1</v>
      </c>
      <c r="AR18">
        <v>1</v>
      </c>
      <c r="AS18">
        <v>1</v>
      </c>
      <c r="AV18">
        <v>1</v>
      </c>
      <c r="AW18">
        <v>1</v>
      </c>
      <c r="AX18">
        <v>1</v>
      </c>
    </row>
    <row r="19" spans="2:50" x14ac:dyDescent="0.2">
      <c r="B19">
        <v>1</v>
      </c>
      <c r="C19">
        <v>1</v>
      </c>
      <c r="D19">
        <v>1</v>
      </c>
      <c r="E19" s="3"/>
      <c r="H19" s="3">
        <v>1</v>
      </c>
      <c r="I19">
        <v>1</v>
      </c>
      <c r="J19">
        <v>1</v>
      </c>
      <c r="M19">
        <v>1</v>
      </c>
      <c r="N19">
        <v>0.15</v>
      </c>
      <c r="O19">
        <v>0.2</v>
      </c>
      <c r="R19">
        <v>1</v>
      </c>
      <c r="S19">
        <v>0</v>
      </c>
      <c r="T19">
        <v>1</v>
      </c>
      <c r="W19">
        <v>1</v>
      </c>
      <c r="X19">
        <v>1</v>
      </c>
      <c r="Y19">
        <v>1</v>
      </c>
      <c r="AB19">
        <v>1</v>
      </c>
      <c r="AC19">
        <v>1</v>
      </c>
      <c r="AD19">
        <v>1</v>
      </c>
      <c r="AG19">
        <v>1</v>
      </c>
      <c r="AH19">
        <v>1</v>
      </c>
      <c r="AI19">
        <v>1</v>
      </c>
      <c r="AL19">
        <v>1</v>
      </c>
      <c r="AM19">
        <v>1</v>
      </c>
      <c r="AN19">
        <v>1</v>
      </c>
      <c r="AQ19">
        <v>1</v>
      </c>
      <c r="AR19">
        <v>1</v>
      </c>
      <c r="AS19">
        <v>1</v>
      </c>
      <c r="AV19">
        <v>1</v>
      </c>
      <c r="AW19">
        <v>1</v>
      </c>
      <c r="AX19">
        <v>1</v>
      </c>
    </row>
    <row r="20" spans="2:50" x14ac:dyDescent="0.2">
      <c r="B20">
        <v>1</v>
      </c>
      <c r="C20">
        <v>1</v>
      </c>
      <c r="D20">
        <v>1</v>
      </c>
      <c r="E20" s="3"/>
      <c r="H20" s="3">
        <v>1</v>
      </c>
      <c r="I20">
        <v>1</v>
      </c>
      <c r="J20">
        <v>1</v>
      </c>
      <c r="M20">
        <v>1</v>
      </c>
      <c r="N20">
        <v>0</v>
      </c>
      <c r="O20">
        <v>1</v>
      </c>
      <c r="R20">
        <v>1</v>
      </c>
      <c r="S20">
        <v>0</v>
      </c>
      <c r="T20">
        <v>0</v>
      </c>
      <c r="W20">
        <v>1</v>
      </c>
      <c r="X20">
        <v>1</v>
      </c>
      <c r="Y20">
        <v>1</v>
      </c>
      <c r="AB20">
        <v>1</v>
      </c>
      <c r="AC20">
        <v>0.9</v>
      </c>
      <c r="AD20">
        <v>0.95</v>
      </c>
      <c r="AG20">
        <v>1</v>
      </c>
      <c r="AH20">
        <v>0.5</v>
      </c>
      <c r="AI20">
        <v>0</v>
      </c>
      <c r="AL20">
        <v>1</v>
      </c>
      <c r="AM20">
        <v>1</v>
      </c>
      <c r="AN20">
        <v>1</v>
      </c>
      <c r="AQ20">
        <v>1</v>
      </c>
      <c r="AR20">
        <v>1</v>
      </c>
      <c r="AS20">
        <v>1</v>
      </c>
      <c r="AT20" s="26"/>
      <c r="AU20" s="26"/>
      <c r="AV20">
        <v>1</v>
      </c>
      <c r="AW20">
        <v>1</v>
      </c>
      <c r="AX20">
        <v>1</v>
      </c>
    </row>
    <row r="21" spans="2:50" x14ac:dyDescent="0.2">
      <c r="B21">
        <v>0.89</v>
      </c>
      <c r="C21" s="39">
        <v>1</v>
      </c>
      <c r="D21" s="39">
        <v>1</v>
      </c>
      <c r="E21" s="3"/>
      <c r="H21" s="3">
        <v>1</v>
      </c>
      <c r="I21">
        <v>1</v>
      </c>
      <c r="J21">
        <v>1</v>
      </c>
      <c r="M21">
        <v>1</v>
      </c>
      <c r="N21">
        <v>0.1</v>
      </c>
      <c r="O21">
        <v>0</v>
      </c>
      <c r="R21" s="39">
        <v>1</v>
      </c>
      <c r="S21" s="39">
        <v>0.59</v>
      </c>
      <c r="T21" s="39"/>
      <c r="W21" s="39">
        <v>0.7</v>
      </c>
      <c r="X21" s="39">
        <v>0.98</v>
      </c>
      <c r="Y21" s="39">
        <v>1</v>
      </c>
      <c r="AB21" s="39">
        <v>1</v>
      </c>
      <c r="AC21" s="5">
        <v>0.88</v>
      </c>
      <c r="AD21" s="39"/>
      <c r="AE21" s="39"/>
      <c r="AG21" s="39">
        <v>1</v>
      </c>
      <c r="AH21" s="39">
        <v>1</v>
      </c>
      <c r="AI21" s="39">
        <v>0.7</v>
      </c>
      <c r="AL21" s="39">
        <v>0.71</v>
      </c>
      <c r="AM21" s="39">
        <v>1</v>
      </c>
      <c r="AN21" s="39">
        <v>1</v>
      </c>
      <c r="AQ21" s="39">
        <v>0.99</v>
      </c>
      <c r="AR21" s="39">
        <v>1</v>
      </c>
      <c r="AS21" s="39">
        <v>1</v>
      </c>
      <c r="AV21" s="39">
        <v>1</v>
      </c>
      <c r="AW21" s="39">
        <v>1</v>
      </c>
      <c r="AX21" s="39">
        <v>1</v>
      </c>
    </row>
    <row r="22" spans="2:50" x14ac:dyDescent="0.2">
      <c r="D22" s="6">
        <v>1</v>
      </c>
      <c r="E22" s="3"/>
      <c r="I22" s="3"/>
      <c r="J22" s="6">
        <v>1</v>
      </c>
      <c r="M22" s="39">
        <v>1</v>
      </c>
      <c r="N22" s="39">
        <v>1</v>
      </c>
      <c r="O22" s="39">
        <v>0.9</v>
      </c>
      <c r="T22" s="6">
        <v>1</v>
      </c>
      <c r="Y22">
        <v>1</v>
      </c>
      <c r="AD22">
        <v>1</v>
      </c>
      <c r="AI22" s="6">
        <v>1</v>
      </c>
      <c r="AN22" s="6">
        <v>1</v>
      </c>
      <c r="AS22" s="26">
        <v>1</v>
      </c>
      <c r="AX22">
        <v>1</v>
      </c>
    </row>
    <row r="23" spans="2:50" x14ac:dyDescent="0.2">
      <c r="D23" s="6">
        <v>1</v>
      </c>
      <c r="E23" s="3"/>
      <c r="I23" s="3"/>
      <c r="J23" s="6">
        <v>1</v>
      </c>
      <c r="O23">
        <v>1</v>
      </c>
      <c r="T23" s="6">
        <v>0.8</v>
      </c>
      <c r="Y23">
        <v>1</v>
      </c>
      <c r="AD23">
        <v>1</v>
      </c>
      <c r="AI23" s="6">
        <v>1</v>
      </c>
      <c r="AN23" s="6">
        <v>1</v>
      </c>
      <c r="AS23" s="26">
        <v>1</v>
      </c>
      <c r="AX23">
        <v>1</v>
      </c>
    </row>
    <row r="24" spans="2:50" x14ac:dyDescent="0.2">
      <c r="D24" s="6">
        <v>1</v>
      </c>
      <c r="E24" s="3"/>
      <c r="I24" s="3"/>
      <c r="J24" s="6">
        <v>0.6</v>
      </c>
      <c r="N24" s="26"/>
      <c r="O24">
        <v>1</v>
      </c>
      <c r="T24" s="6">
        <v>1</v>
      </c>
      <c r="Y24">
        <v>1</v>
      </c>
      <c r="AD24">
        <v>1</v>
      </c>
      <c r="AI24" s="6">
        <v>0.4</v>
      </c>
      <c r="AN24" s="6">
        <v>1</v>
      </c>
      <c r="AS24" s="26">
        <v>1</v>
      </c>
      <c r="AX24">
        <v>1</v>
      </c>
    </row>
    <row r="25" spans="2:50" x14ac:dyDescent="0.2">
      <c r="D25" s="6">
        <v>1</v>
      </c>
      <c r="E25" s="3"/>
      <c r="I25" s="3"/>
      <c r="J25" s="6">
        <v>1</v>
      </c>
      <c r="N25" s="26"/>
      <c r="O25">
        <v>0.7</v>
      </c>
      <c r="T25" s="6">
        <v>1</v>
      </c>
      <c r="Y25">
        <v>1</v>
      </c>
      <c r="AD25">
        <v>1</v>
      </c>
      <c r="AI25" s="6">
        <v>1</v>
      </c>
      <c r="AN25" s="6">
        <v>0.95</v>
      </c>
      <c r="AS25" s="26">
        <v>1</v>
      </c>
      <c r="AX25">
        <v>1</v>
      </c>
    </row>
    <row r="26" spans="2:50" x14ac:dyDescent="0.2">
      <c r="D26" s="6">
        <v>1</v>
      </c>
      <c r="E26" s="3"/>
      <c r="I26" s="3"/>
      <c r="J26" s="6">
        <v>1</v>
      </c>
      <c r="N26" s="26"/>
      <c r="O26">
        <v>1</v>
      </c>
      <c r="T26" s="6">
        <v>1</v>
      </c>
      <c r="Y26">
        <v>1</v>
      </c>
      <c r="AD26">
        <v>1</v>
      </c>
      <c r="AI26" s="6">
        <v>1</v>
      </c>
      <c r="AN26" s="6">
        <v>0.9</v>
      </c>
      <c r="AS26" s="26">
        <v>1</v>
      </c>
      <c r="AX26">
        <v>1</v>
      </c>
    </row>
    <row r="27" spans="2:50" x14ac:dyDescent="0.2">
      <c r="D27" s="6">
        <v>1</v>
      </c>
      <c r="E27" s="3"/>
      <c r="I27" s="3"/>
      <c r="J27" s="6">
        <v>1</v>
      </c>
      <c r="N27" s="26"/>
      <c r="O27">
        <v>1</v>
      </c>
      <c r="T27" s="6">
        <v>1</v>
      </c>
      <c r="Y27">
        <v>1</v>
      </c>
      <c r="AD27">
        <v>1</v>
      </c>
      <c r="AI27" s="6">
        <v>1</v>
      </c>
      <c r="AN27" s="6">
        <v>1</v>
      </c>
      <c r="AS27" s="26">
        <v>1</v>
      </c>
      <c r="AX27">
        <v>1</v>
      </c>
    </row>
    <row r="28" spans="2:50" x14ac:dyDescent="0.2">
      <c r="D28" s="6">
        <v>1</v>
      </c>
      <c r="E28" s="3"/>
      <c r="I28" s="3"/>
      <c r="J28" s="6">
        <v>1</v>
      </c>
      <c r="N28" s="26"/>
      <c r="O28">
        <v>1</v>
      </c>
      <c r="T28" s="6">
        <v>1</v>
      </c>
      <c r="Y28">
        <v>1</v>
      </c>
      <c r="AD28">
        <v>1</v>
      </c>
      <c r="AI28" s="6">
        <v>1</v>
      </c>
      <c r="AN28" s="6">
        <v>0.9</v>
      </c>
      <c r="AS28" s="26">
        <v>1</v>
      </c>
      <c r="AX28">
        <v>1</v>
      </c>
    </row>
    <row r="29" spans="2:50" x14ac:dyDescent="0.2">
      <c r="D29" s="6">
        <v>0.9</v>
      </c>
      <c r="E29" s="3"/>
      <c r="I29" s="3"/>
      <c r="J29" s="6">
        <v>1</v>
      </c>
      <c r="N29" s="26"/>
      <c r="O29">
        <v>1</v>
      </c>
      <c r="T29" s="6">
        <v>1</v>
      </c>
      <c r="Y29">
        <v>1</v>
      </c>
      <c r="AD29">
        <v>1</v>
      </c>
      <c r="AI29" s="6">
        <v>0.7</v>
      </c>
      <c r="AN29" s="6">
        <v>1</v>
      </c>
      <c r="AS29" s="26">
        <v>1</v>
      </c>
      <c r="AX29">
        <v>1</v>
      </c>
    </row>
    <row r="30" spans="2:50" x14ac:dyDescent="0.2">
      <c r="D30" s="6">
        <v>1</v>
      </c>
      <c r="E30" s="3"/>
      <c r="I30" s="3"/>
      <c r="J30" s="6">
        <v>1</v>
      </c>
      <c r="N30" s="26"/>
      <c r="O30">
        <v>1</v>
      </c>
      <c r="T30" s="6">
        <v>1</v>
      </c>
      <c r="Y30">
        <v>0.95</v>
      </c>
      <c r="AD30">
        <v>1</v>
      </c>
      <c r="AI30" s="6">
        <v>1</v>
      </c>
      <c r="AN30" s="6">
        <v>1</v>
      </c>
      <c r="AS30" s="26">
        <v>1</v>
      </c>
      <c r="AX30">
        <v>1</v>
      </c>
    </row>
    <row r="31" spans="2:50" x14ac:dyDescent="0.2">
      <c r="D31" s="6">
        <v>1</v>
      </c>
      <c r="E31" s="3"/>
      <c r="I31" s="3"/>
      <c r="J31" s="6">
        <v>1</v>
      </c>
      <c r="N31" s="26"/>
      <c r="O31">
        <v>1</v>
      </c>
      <c r="T31" s="6">
        <v>1</v>
      </c>
      <c r="Y31">
        <v>1</v>
      </c>
      <c r="AD31">
        <v>1</v>
      </c>
      <c r="AF31" s="5"/>
      <c r="AI31" s="6">
        <v>1</v>
      </c>
      <c r="AN31" s="6">
        <v>1</v>
      </c>
      <c r="AS31" s="26">
        <v>1</v>
      </c>
      <c r="AX31">
        <v>1</v>
      </c>
    </row>
    <row r="32" spans="2:50" x14ac:dyDescent="0.2">
      <c r="D32" s="6">
        <v>1</v>
      </c>
      <c r="E32" s="3"/>
      <c r="I32" s="3"/>
      <c r="J32" s="6">
        <v>1</v>
      </c>
      <c r="N32" s="26"/>
      <c r="O32">
        <v>1</v>
      </c>
      <c r="T32" s="6">
        <v>0.9</v>
      </c>
      <c r="Y32">
        <v>1</v>
      </c>
      <c r="AD32">
        <v>1</v>
      </c>
      <c r="AI32" s="6">
        <v>1</v>
      </c>
      <c r="AN32" s="6">
        <v>1</v>
      </c>
      <c r="AS32" s="26">
        <v>1</v>
      </c>
      <c r="AX32">
        <v>1</v>
      </c>
    </row>
    <row r="33" spans="4:50" x14ac:dyDescent="0.2">
      <c r="D33" s="6">
        <v>1</v>
      </c>
      <c r="E33" s="3"/>
      <c r="I33" s="3"/>
      <c r="J33" s="6">
        <v>1</v>
      </c>
      <c r="N33" s="26"/>
      <c r="O33">
        <v>1</v>
      </c>
      <c r="T33" s="6">
        <v>1</v>
      </c>
      <c r="Y33">
        <v>1</v>
      </c>
      <c r="AD33">
        <v>1</v>
      </c>
      <c r="AI33" s="6">
        <v>1</v>
      </c>
      <c r="AN33" s="6">
        <v>1</v>
      </c>
      <c r="AS33" s="26">
        <v>1</v>
      </c>
      <c r="AX33">
        <v>1</v>
      </c>
    </row>
    <row r="34" spans="4:50" x14ac:dyDescent="0.2">
      <c r="D34" s="6">
        <v>1</v>
      </c>
      <c r="E34" s="3"/>
      <c r="I34" s="3"/>
      <c r="J34" s="6">
        <v>1</v>
      </c>
      <c r="N34" s="26"/>
      <c r="O34">
        <v>1</v>
      </c>
      <c r="T34" s="6">
        <v>1</v>
      </c>
      <c r="Y34">
        <v>1</v>
      </c>
      <c r="AD34">
        <v>1</v>
      </c>
      <c r="AI34" s="6">
        <v>1</v>
      </c>
      <c r="AN34" s="6">
        <v>0.4</v>
      </c>
      <c r="AS34" s="26">
        <v>1</v>
      </c>
      <c r="AX34">
        <v>1</v>
      </c>
    </row>
    <row r="35" spans="4:50" x14ac:dyDescent="0.2">
      <c r="D35" s="6">
        <v>1</v>
      </c>
      <c r="E35" s="3"/>
      <c r="I35" s="3"/>
      <c r="J35" s="6">
        <v>1</v>
      </c>
      <c r="N35" s="26"/>
      <c r="O35">
        <v>1</v>
      </c>
      <c r="T35" s="6">
        <v>0.4</v>
      </c>
      <c r="Y35">
        <v>1</v>
      </c>
      <c r="AD35">
        <v>1</v>
      </c>
      <c r="AI35" s="6">
        <v>0</v>
      </c>
      <c r="AN35" s="6">
        <v>1</v>
      </c>
      <c r="AS35" s="26">
        <v>1</v>
      </c>
      <c r="AX35">
        <v>1</v>
      </c>
    </row>
    <row r="36" spans="4:50" x14ac:dyDescent="0.2">
      <c r="D36" s="6">
        <v>1</v>
      </c>
      <c r="E36" s="3"/>
      <c r="I36" s="3"/>
      <c r="J36" s="6">
        <v>1</v>
      </c>
      <c r="N36" s="26"/>
      <c r="O36">
        <v>1</v>
      </c>
      <c r="T36" s="6">
        <v>0.1</v>
      </c>
      <c r="Y36">
        <v>1</v>
      </c>
      <c r="AD36">
        <v>1</v>
      </c>
      <c r="AI36" s="6">
        <v>1</v>
      </c>
      <c r="AN36" s="6">
        <v>1</v>
      </c>
      <c r="AS36" s="26">
        <v>1</v>
      </c>
      <c r="AX36">
        <v>1</v>
      </c>
    </row>
    <row r="37" spans="4:50" x14ac:dyDescent="0.2">
      <c r="D37" s="6">
        <v>0.9</v>
      </c>
      <c r="E37" s="3"/>
      <c r="I37" s="3"/>
      <c r="J37" s="6">
        <v>1</v>
      </c>
      <c r="N37" s="26"/>
      <c r="O37">
        <v>1</v>
      </c>
      <c r="T37" s="6">
        <v>1</v>
      </c>
      <c r="Y37">
        <v>1</v>
      </c>
      <c r="AD37">
        <v>1</v>
      </c>
      <c r="AI37" s="6">
        <v>1</v>
      </c>
      <c r="AN37" s="6">
        <v>1</v>
      </c>
      <c r="AS37" s="26">
        <v>1</v>
      </c>
      <c r="AX37">
        <v>1</v>
      </c>
    </row>
    <row r="38" spans="4:50" x14ac:dyDescent="0.2">
      <c r="D38" s="6">
        <v>1</v>
      </c>
      <c r="E38" s="3"/>
      <c r="I38" s="3"/>
      <c r="J38" s="6">
        <v>1</v>
      </c>
      <c r="N38" s="26"/>
      <c r="O38">
        <v>0.95</v>
      </c>
      <c r="T38" s="6">
        <v>0.5</v>
      </c>
      <c r="Y38">
        <v>1</v>
      </c>
      <c r="AD38">
        <v>1</v>
      </c>
      <c r="AI38" s="6">
        <v>1</v>
      </c>
      <c r="AN38" s="6">
        <v>1</v>
      </c>
      <c r="AS38" s="26">
        <v>1</v>
      </c>
      <c r="AX38">
        <v>1</v>
      </c>
    </row>
    <row r="39" spans="4:50" x14ac:dyDescent="0.2">
      <c r="D39" s="6">
        <v>1</v>
      </c>
      <c r="E39" s="3"/>
      <c r="I39" s="3"/>
      <c r="J39" s="6">
        <v>1</v>
      </c>
      <c r="N39" s="3"/>
      <c r="O39">
        <v>0.2</v>
      </c>
      <c r="T39" s="6">
        <v>0.6</v>
      </c>
      <c r="Y39">
        <v>1</v>
      </c>
      <c r="AD39">
        <v>1</v>
      </c>
      <c r="AI39" s="6">
        <v>1</v>
      </c>
      <c r="AN39" s="6">
        <v>1</v>
      </c>
      <c r="AS39" s="26">
        <v>1</v>
      </c>
      <c r="AX39">
        <v>1</v>
      </c>
    </row>
    <row r="40" spans="4:50" x14ac:dyDescent="0.2">
      <c r="D40" s="6">
        <v>1</v>
      </c>
      <c r="E40" s="3"/>
      <c r="I40" s="3"/>
      <c r="J40" s="6">
        <v>1</v>
      </c>
      <c r="N40" s="3"/>
      <c r="O40">
        <v>1</v>
      </c>
      <c r="T40" s="6">
        <v>1</v>
      </c>
      <c r="Y40">
        <v>1</v>
      </c>
      <c r="AD40">
        <v>1</v>
      </c>
      <c r="AI40" s="6">
        <v>1</v>
      </c>
      <c r="AN40" s="6">
        <v>1</v>
      </c>
      <c r="AS40" s="26">
        <v>1</v>
      </c>
      <c r="AX40">
        <v>1</v>
      </c>
    </row>
    <row r="41" spans="4:50" x14ac:dyDescent="0.2">
      <c r="D41" s="6">
        <v>1</v>
      </c>
      <c r="E41" s="3"/>
      <c r="I41" s="3"/>
      <c r="J41" s="6">
        <v>1</v>
      </c>
      <c r="N41" s="3"/>
      <c r="O41">
        <v>1</v>
      </c>
      <c r="T41" s="6">
        <v>0.3</v>
      </c>
      <c r="Y41">
        <v>1</v>
      </c>
      <c r="AD41">
        <v>1</v>
      </c>
      <c r="AI41" s="6">
        <v>1</v>
      </c>
      <c r="AN41" s="6">
        <v>1</v>
      </c>
      <c r="AS41" s="26">
        <v>1</v>
      </c>
      <c r="AX41">
        <v>1</v>
      </c>
    </row>
    <row r="42" spans="4:50" x14ac:dyDescent="0.2">
      <c r="D42" s="6">
        <v>1</v>
      </c>
      <c r="E42" s="3"/>
      <c r="I42" s="3"/>
      <c r="J42" s="6">
        <v>1</v>
      </c>
      <c r="N42" s="3"/>
      <c r="O42">
        <v>1</v>
      </c>
      <c r="T42" s="6">
        <v>1</v>
      </c>
      <c r="Y42">
        <v>1</v>
      </c>
      <c r="AD42">
        <v>0.75</v>
      </c>
      <c r="AI42" s="6">
        <v>1</v>
      </c>
      <c r="AN42" s="6">
        <v>1</v>
      </c>
      <c r="AS42" s="26">
        <v>0.8</v>
      </c>
      <c r="AX42">
        <v>0</v>
      </c>
    </row>
    <row r="43" spans="4:50" x14ac:dyDescent="0.2">
      <c r="D43" s="6">
        <v>1</v>
      </c>
      <c r="E43" s="3"/>
      <c r="I43" s="3"/>
      <c r="J43" s="6">
        <v>1</v>
      </c>
      <c r="N43" s="3"/>
      <c r="O43">
        <v>1</v>
      </c>
      <c r="T43" s="6">
        <v>0</v>
      </c>
      <c r="Y43">
        <v>1</v>
      </c>
      <c r="AD43">
        <v>1</v>
      </c>
      <c r="AI43" s="6">
        <v>1</v>
      </c>
      <c r="AN43" s="6">
        <v>1</v>
      </c>
      <c r="AS43" s="26">
        <v>1</v>
      </c>
      <c r="AX43">
        <v>1</v>
      </c>
    </row>
    <row r="44" spans="4:50" x14ac:dyDescent="0.2">
      <c r="D44" s="6">
        <v>1</v>
      </c>
      <c r="E44" s="3"/>
      <c r="I44" s="3"/>
      <c r="J44" s="6">
        <v>1</v>
      </c>
      <c r="N44" s="3"/>
      <c r="O44">
        <v>1</v>
      </c>
      <c r="T44" s="6">
        <v>1</v>
      </c>
      <c r="Y44">
        <v>1</v>
      </c>
      <c r="AD44">
        <v>1</v>
      </c>
      <c r="AI44" s="6">
        <v>1</v>
      </c>
      <c r="AN44" s="6">
        <v>0.2</v>
      </c>
      <c r="AS44" s="26">
        <v>1</v>
      </c>
      <c r="AX44">
        <v>1</v>
      </c>
    </row>
    <row r="45" spans="4:50" x14ac:dyDescent="0.2">
      <c r="D45" s="6">
        <v>1</v>
      </c>
      <c r="E45" s="3"/>
      <c r="I45" s="3"/>
      <c r="J45" s="6">
        <v>1</v>
      </c>
      <c r="N45" s="3"/>
      <c r="O45">
        <v>1</v>
      </c>
      <c r="T45" s="6">
        <v>0</v>
      </c>
      <c r="Y45">
        <v>1</v>
      </c>
      <c r="AD45">
        <v>1</v>
      </c>
      <c r="AI45" s="6">
        <v>1</v>
      </c>
      <c r="AN45" s="6">
        <v>1</v>
      </c>
      <c r="AS45" s="26">
        <v>1</v>
      </c>
      <c r="AX45">
        <v>1</v>
      </c>
    </row>
    <row r="46" spans="4:50" x14ac:dyDescent="0.2">
      <c r="D46" s="6">
        <v>1</v>
      </c>
      <c r="E46" s="3"/>
      <c r="I46" s="3"/>
      <c r="J46" s="6">
        <v>1</v>
      </c>
      <c r="N46" s="3"/>
      <c r="O46">
        <v>1</v>
      </c>
      <c r="T46" s="6">
        <v>0</v>
      </c>
      <c r="Y46">
        <v>1</v>
      </c>
      <c r="AD46">
        <v>1</v>
      </c>
      <c r="AI46" s="6">
        <v>1</v>
      </c>
      <c r="AN46" s="6">
        <v>1</v>
      </c>
      <c r="AS46" s="26">
        <v>1</v>
      </c>
      <c r="AX46">
        <v>1</v>
      </c>
    </row>
    <row r="47" spans="4:50" x14ac:dyDescent="0.2">
      <c r="D47" s="6">
        <v>1</v>
      </c>
      <c r="E47" s="3"/>
      <c r="I47" s="3"/>
      <c r="J47" s="6">
        <v>1</v>
      </c>
      <c r="N47" s="3"/>
      <c r="O47">
        <v>1</v>
      </c>
      <c r="T47" s="6">
        <v>1</v>
      </c>
      <c r="Y47">
        <v>1</v>
      </c>
      <c r="AD47">
        <v>1</v>
      </c>
      <c r="AI47" s="6">
        <v>1</v>
      </c>
      <c r="AN47" s="6">
        <v>1</v>
      </c>
      <c r="AS47" s="26">
        <v>1</v>
      </c>
      <c r="AX47">
        <v>1</v>
      </c>
    </row>
    <row r="48" spans="4:50" x14ac:dyDescent="0.2">
      <c r="D48" s="6">
        <v>0</v>
      </c>
      <c r="E48" s="3"/>
      <c r="I48" s="3"/>
      <c r="J48" s="6">
        <v>1</v>
      </c>
      <c r="N48" s="3"/>
      <c r="O48">
        <v>1</v>
      </c>
      <c r="T48" s="6">
        <v>1</v>
      </c>
      <c r="Y48">
        <v>0.7</v>
      </c>
      <c r="AD48">
        <v>1</v>
      </c>
      <c r="AI48" s="6">
        <v>1</v>
      </c>
      <c r="AN48" s="6">
        <v>0</v>
      </c>
      <c r="AS48" s="26">
        <v>0.4</v>
      </c>
      <c r="AX48">
        <v>1</v>
      </c>
    </row>
    <row r="49" spans="4:50" x14ac:dyDescent="0.2">
      <c r="D49" s="6">
        <v>1</v>
      </c>
      <c r="E49" s="3"/>
      <c r="I49" s="3"/>
      <c r="J49" s="6">
        <v>1</v>
      </c>
      <c r="N49" s="3"/>
      <c r="O49">
        <v>1</v>
      </c>
      <c r="T49" s="6">
        <v>1</v>
      </c>
      <c r="Y49">
        <v>1</v>
      </c>
      <c r="AD49">
        <v>1</v>
      </c>
      <c r="AI49" s="6">
        <v>0</v>
      </c>
      <c r="AN49" s="6">
        <v>1</v>
      </c>
      <c r="AS49" s="26">
        <v>1</v>
      </c>
      <c r="AX49">
        <v>1</v>
      </c>
    </row>
    <row r="50" spans="4:50" x14ac:dyDescent="0.2">
      <c r="D50" s="6">
        <v>0</v>
      </c>
      <c r="J50" s="6">
        <v>1</v>
      </c>
      <c r="N50" s="3"/>
      <c r="O50">
        <v>1</v>
      </c>
      <c r="T50" s="6">
        <v>1</v>
      </c>
      <c r="Y50">
        <v>0.85</v>
      </c>
      <c r="AD50" s="39">
        <v>0</v>
      </c>
      <c r="AI50" s="6">
        <v>1</v>
      </c>
      <c r="AN50" s="6">
        <v>1</v>
      </c>
      <c r="AS50">
        <f>17/20</f>
        <v>0.85</v>
      </c>
      <c r="AX50">
        <v>0</v>
      </c>
    </row>
    <row r="51" spans="4:50" x14ac:dyDescent="0.2">
      <c r="N51" s="3"/>
      <c r="O51" s="3">
        <v>0.5</v>
      </c>
    </row>
    <row r="52" spans="4:50" x14ac:dyDescent="0.2">
      <c r="N52" s="3"/>
    </row>
    <row r="53" spans="4:50" x14ac:dyDescent="0.2">
      <c r="N53" s="3"/>
    </row>
    <row r="54" spans="4:50" x14ac:dyDescent="0.2">
      <c r="N54" s="3"/>
    </row>
    <row r="55" spans="4:50" x14ac:dyDescent="0.2">
      <c r="N55" s="3"/>
    </row>
    <row r="56" spans="4:50" x14ac:dyDescent="0.2">
      <c r="N56" s="3"/>
    </row>
    <row r="57" spans="4:50" x14ac:dyDescent="0.2">
      <c r="N57" s="3"/>
    </row>
    <row r="58" spans="4:50" x14ac:dyDescent="0.2">
      <c r="N58" s="3"/>
    </row>
    <row r="59" spans="4:50" x14ac:dyDescent="0.2">
      <c r="N59" s="3"/>
    </row>
    <row r="60" spans="4:50" x14ac:dyDescent="0.2">
      <c r="N60" s="3"/>
    </row>
    <row r="61" spans="4:50" x14ac:dyDescent="0.2">
      <c r="N61" s="3"/>
    </row>
    <row r="62" spans="4:50" x14ac:dyDescent="0.2">
      <c r="N62" s="3"/>
    </row>
    <row r="63" spans="4:50" x14ac:dyDescent="0.2">
      <c r="N63" s="3"/>
    </row>
    <row r="64" spans="4:50" x14ac:dyDescent="0.2">
      <c r="N64" s="3"/>
    </row>
    <row r="65" spans="14:14" x14ac:dyDescent="0.2">
      <c r="N65" s="3"/>
    </row>
    <row r="66" spans="14:14" x14ac:dyDescent="0.2">
      <c r="N66" s="3"/>
    </row>
    <row r="82" spans="1:50" x14ac:dyDescent="0.2">
      <c r="B82" t="s">
        <v>289</v>
      </c>
      <c r="G82" t="s">
        <v>289</v>
      </c>
      <c r="L82" t="s">
        <v>289</v>
      </c>
      <c r="R82" t="s">
        <v>289</v>
      </c>
      <c r="W82" t="s">
        <v>289</v>
      </c>
      <c r="AB82" t="s">
        <v>289</v>
      </c>
      <c r="AF82" t="s">
        <v>289</v>
      </c>
      <c r="AK82" t="s">
        <v>289</v>
      </c>
      <c r="AQ82" t="s">
        <v>289</v>
      </c>
      <c r="AV82" t="s">
        <v>289</v>
      </c>
    </row>
    <row r="83" spans="1:50" x14ac:dyDescent="0.2">
      <c r="B83">
        <f t="shared" ref="B83:C83" si="0">AVERAGE(B7:B50)</f>
        <v>0.97933333333333339</v>
      </c>
      <c r="C83">
        <f t="shared" si="0"/>
        <v>0.97133333333333338</v>
      </c>
      <c r="D83">
        <f>AVERAGE(D7:D50)</f>
        <v>0.86136363636363633</v>
      </c>
      <c r="G83">
        <f>AVERAGE(H7:H21)</f>
        <v>0.97866666666666668</v>
      </c>
      <c r="H83">
        <f>AVERAGE(I7:I50)</f>
        <v>1</v>
      </c>
      <c r="I83">
        <f>AVERAGE(J7:J50)</f>
        <v>0.99090909090909096</v>
      </c>
      <c r="L83">
        <f>AVERAGE(M7:M51)</f>
        <v>0.99937500000000001</v>
      </c>
      <c r="M83">
        <f t="shared" ref="M83:N83" si="1">AVERAGE(N7:N51)</f>
        <v>0.7975000000000001</v>
      </c>
      <c r="N83">
        <f t="shared" si="1"/>
        <v>0.80999999999999994</v>
      </c>
      <c r="R83">
        <f>AVERAGE(R7:R50)</f>
        <v>0.93399999999999994</v>
      </c>
      <c r="S83">
        <f t="shared" ref="S83:T83" si="2">AVERAGE(S7:S50)</f>
        <v>0.56400000000000006</v>
      </c>
      <c r="T83">
        <f t="shared" si="2"/>
        <v>0.71162790697674427</v>
      </c>
      <c r="W83">
        <f>AVERAGE(W7:W50)</f>
        <v>0.84933333333333327</v>
      </c>
      <c r="X83">
        <f t="shared" ref="X83:Y83" si="3">AVERAGE(X7:X50)</f>
        <v>0.94466666666666665</v>
      </c>
      <c r="Y83">
        <f t="shared" si="3"/>
        <v>0.94318181818181834</v>
      </c>
      <c r="AB83">
        <f>AVERAGE(AB7:AB50)</f>
        <v>1</v>
      </c>
      <c r="AC83">
        <f t="shared" ref="AC83:AD83" si="4">AVERAGE(AC7:AC50)</f>
        <v>0.96933333333333338</v>
      </c>
      <c r="AD83">
        <f t="shared" si="4"/>
        <v>0.94651162790697685</v>
      </c>
      <c r="AF83">
        <f>AVERAGE(AG7:AG50)</f>
        <v>0.9993333333333333</v>
      </c>
      <c r="AG83">
        <f>AVERAGE(AH7:AH50)</f>
        <v>0.90066666666666662</v>
      </c>
      <c r="AH83">
        <f>AVERAGE(AI7:AI50)</f>
        <v>0.76818181818181808</v>
      </c>
      <c r="AK83">
        <f>AVERAGE(AL7:AL50)</f>
        <v>0.85599999999999998</v>
      </c>
      <c r="AL83">
        <f t="shared" ref="AL83:AM83" si="5">AVERAGE(AM7:AM50)</f>
        <v>0.98799999999999999</v>
      </c>
      <c r="AM83">
        <f t="shared" si="5"/>
        <v>0.91704545454545439</v>
      </c>
      <c r="AQ83">
        <f>AVERAGE(AQ7:AQ50)</f>
        <v>0.9993333333333333</v>
      </c>
      <c r="AR83">
        <f t="shared" ref="AR83:AS83" si="6">AVERAGE(AR7:AR50)</f>
        <v>0.97533333333333339</v>
      </c>
      <c r="AS83">
        <f t="shared" si="6"/>
        <v>0.93181818181818177</v>
      </c>
      <c r="AV83">
        <f>AVERAGE(AV7:AV50)</f>
        <v>1</v>
      </c>
      <c r="AW83">
        <f t="shared" ref="AW83:AX83" si="7">AVERAGE(AW7:AW50)</f>
        <v>0.99066666666666658</v>
      </c>
      <c r="AX83">
        <f t="shared" si="7"/>
        <v>0.93181818181818177</v>
      </c>
    </row>
    <row r="86" spans="1:50" x14ac:dyDescent="0.2">
      <c r="A86" t="s">
        <v>290</v>
      </c>
    </row>
    <row r="87" spans="1:50" x14ac:dyDescent="0.2">
      <c r="A87" t="s">
        <v>291</v>
      </c>
      <c r="D87" s="2" t="s">
        <v>171</v>
      </c>
      <c r="F87" s="40" t="s">
        <v>219</v>
      </c>
      <c r="H87" s="40" t="s">
        <v>222</v>
      </c>
      <c r="I87" s="40" t="s">
        <v>236</v>
      </c>
    </row>
    <row r="89" spans="1:50" x14ac:dyDescent="0.2">
      <c r="A89" t="s">
        <v>292</v>
      </c>
      <c r="D89" s="49" t="s">
        <v>50</v>
      </c>
      <c r="E89" s="24" t="s">
        <v>162</v>
      </c>
      <c r="G89" s="2" t="s">
        <v>15</v>
      </c>
    </row>
    <row r="92" spans="1:50" x14ac:dyDescent="0.2">
      <c r="A92" t="s">
        <v>293</v>
      </c>
      <c r="D92" s="2" t="s">
        <v>53</v>
      </c>
      <c r="E92" s="49" t="s">
        <v>172</v>
      </c>
      <c r="F92" s="2" t="s">
        <v>6</v>
      </c>
    </row>
  </sheetData>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C8308-C013-E14E-984B-C546C7C46415}">
  <dimension ref="A1:AC84"/>
  <sheetViews>
    <sheetView topLeftCell="A70" zoomScale="125" workbookViewId="0">
      <selection activeCell="C91" sqref="C91"/>
    </sheetView>
  </sheetViews>
  <sheetFormatPr baseColWidth="10" defaultRowHeight="16" x14ac:dyDescent="0.2"/>
  <sheetData>
    <row r="1" spans="1:29" x14ac:dyDescent="0.2">
      <c r="A1" t="s">
        <v>243</v>
      </c>
      <c r="B1">
        <v>10</v>
      </c>
    </row>
    <row r="2" spans="1:29" x14ac:dyDescent="0.2">
      <c r="A2" t="s">
        <v>251</v>
      </c>
      <c r="B2">
        <v>10</v>
      </c>
    </row>
    <row r="3" spans="1:29" x14ac:dyDescent="0.2">
      <c r="A3" t="s">
        <v>252</v>
      </c>
      <c r="B3">
        <v>10</v>
      </c>
    </row>
    <row r="4" spans="1:29" x14ac:dyDescent="0.2">
      <c r="A4" t="s">
        <v>101</v>
      </c>
      <c r="B4">
        <f>SUM(B1:B3)</f>
        <v>30</v>
      </c>
      <c r="D4">
        <f>C7+C18+C30</f>
        <v>28823</v>
      </c>
      <c r="L4">
        <f>L7+L29+L18</f>
        <v>14053</v>
      </c>
      <c r="O4">
        <f>O7+O18+O29</f>
        <v>12205</v>
      </c>
      <c r="S4">
        <f>S7+S18+S29</f>
        <v>10974</v>
      </c>
      <c r="V4">
        <f>V7+V18+V29</f>
        <v>12845</v>
      </c>
      <c r="Y4">
        <f>Y7+Y18+Y29</f>
        <v>10743</v>
      </c>
      <c r="AB4">
        <f>AB7+AB18+AB29</f>
        <v>11957</v>
      </c>
    </row>
    <row r="5" spans="1:29" x14ac:dyDescent="0.2">
      <c r="A5" t="s">
        <v>241</v>
      </c>
      <c r="B5" s="42" t="s">
        <v>238</v>
      </c>
      <c r="D5" s="41" t="s">
        <v>239</v>
      </c>
      <c r="F5" s="41"/>
      <c r="G5" t="s">
        <v>242</v>
      </c>
      <c r="H5" s="42" t="s">
        <v>238</v>
      </c>
      <c r="I5" s="41" t="s">
        <v>239</v>
      </c>
      <c r="K5" t="s">
        <v>241</v>
      </c>
      <c r="L5" s="3" t="s">
        <v>236</v>
      </c>
      <c r="O5" s="40" t="s">
        <v>219</v>
      </c>
      <c r="Q5" s="40"/>
      <c r="R5" s="40"/>
      <c r="S5" s="2" t="s">
        <v>15</v>
      </c>
      <c r="V5" s="40" t="s">
        <v>222</v>
      </c>
      <c r="Y5" s="24" t="s">
        <v>162</v>
      </c>
      <c r="AB5" s="5" t="s">
        <v>253</v>
      </c>
    </row>
    <row r="6" spans="1:29" x14ac:dyDescent="0.2">
      <c r="B6" s="5"/>
      <c r="C6" s="3" t="s">
        <v>96</v>
      </c>
      <c r="D6">
        <v>1</v>
      </c>
      <c r="G6" s="5"/>
      <c r="H6" s="3" t="s">
        <v>96</v>
      </c>
      <c r="I6">
        <v>1</v>
      </c>
      <c r="L6" s="3" t="s">
        <v>96</v>
      </c>
      <c r="M6">
        <v>2</v>
      </c>
      <c r="O6" s="3" t="s">
        <v>96</v>
      </c>
      <c r="P6">
        <v>2</v>
      </c>
      <c r="S6" s="3" t="s">
        <v>96</v>
      </c>
      <c r="T6">
        <v>0</v>
      </c>
      <c r="V6" s="3" t="s">
        <v>96</v>
      </c>
      <c r="W6">
        <v>1</v>
      </c>
      <c r="Y6" s="3" t="s">
        <v>96</v>
      </c>
      <c r="Z6">
        <v>2</v>
      </c>
      <c r="AB6" s="3" t="s">
        <v>96</v>
      </c>
      <c r="AC6">
        <v>3</v>
      </c>
    </row>
    <row r="7" spans="1:29" x14ac:dyDescent="0.2">
      <c r="C7" s="5">
        <v>9428</v>
      </c>
      <c r="D7">
        <v>2</v>
      </c>
      <c r="I7">
        <v>4</v>
      </c>
      <c r="L7" s="5">
        <v>2607</v>
      </c>
      <c r="M7">
        <v>1</v>
      </c>
      <c r="O7" s="5">
        <v>3690</v>
      </c>
      <c r="P7">
        <v>2</v>
      </c>
      <c r="S7" s="5">
        <v>2551</v>
      </c>
      <c r="T7">
        <v>2</v>
      </c>
      <c r="V7" s="5">
        <f>4082+490</f>
        <v>4572</v>
      </c>
      <c r="W7">
        <v>3</v>
      </c>
      <c r="Y7" s="5">
        <v>2657</v>
      </c>
      <c r="Z7">
        <v>2</v>
      </c>
      <c r="AB7" s="5">
        <v>4092</v>
      </c>
      <c r="AC7">
        <v>1</v>
      </c>
    </row>
    <row r="8" spans="1:29" x14ac:dyDescent="0.2">
      <c r="D8">
        <v>1</v>
      </c>
      <c r="I8">
        <v>5</v>
      </c>
      <c r="M8">
        <v>1</v>
      </c>
      <c r="P8">
        <v>4</v>
      </c>
      <c r="T8">
        <v>1</v>
      </c>
      <c r="W8">
        <v>1</v>
      </c>
      <c r="Z8">
        <v>3</v>
      </c>
      <c r="AC8">
        <v>1</v>
      </c>
    </row>
    <row r="9" spans="1:29" x14ac:dyDescent="0.2">
      <c r="D9">
        <v>1</v>
      </c>
      <c r="I9">
        <v>4</v>
      </c>
      <c r="M9">
        <v>1</v>
      </c>
      <c r="P9">
        <v>3</v>
      </c>
      <c r="T9">
        <v>0</v>
      </c>
      <c r="W9">
        <v>1</v>
      </c>
      <c r="Z9">
        <v>1</v>
      </c>
      <c r="AC9">
        <v>1</v>
      </c>
    </row>
    <row r="10" spans="1:29" x14ac:dyDescent="0.2">
      <c r="D10">
        <v>0</v>
      </c>
      <c r="I10">
        <v>0</v>
      </c>
      <c r="M10">
        <v>1</v>
      </c>
      <c r="P10">
        <v>3</v>
      </c>
      <c r="T10">
        <v>2</v>
      </c>
      <c r="W10">
        <v>0</v>
      </c>
      <c r="Z10">
        <v>1</v>
      </c>
      <c r="AC10">
        <v>1</v>
      </c>
    </row>
    <row r="11" spans="1:29" x14ac:dyDescent="0.2">
      <c r="D11">
        <v>0</v>
      </c>
      <c r="I11">
        <v>0</v>
      </c>
      <c r="M11">
        <v>1</v>
      </c>
      <c r="P11">
        <v>0</v>
      </c>
      <c r="T11">
        <v>2</v>
      </c>
      <c r="W11">
        <v>0</v>
      </c>
      <c r="Z11">
        <v>2</v>
      </c>
      <c r="AC11">
        <v>2</v>
      </c>
    </row>
    <row r="12" spans="1:29" x14ac:dyDescent="0.2">
      <c r="D12">
        <v>2</v>
      </c>
      <c r="I12">
        <v>0</v>
      </c>
      <c r="M12">
        <v>2</v>
      </c>
      <c r="P12">
        <v>0</v>
      </c>
      <c r="T12">
        <v>2</v>
      </c>
      <c r="W12">
        <v>0</v>
      </c>
      <c r="Z12">
        <v>0</v>
      </c>
      <c r="AC12">
        <v>0</v>
      </c>
    </row>
    <row r="13" spans="1:29" x14ac:dyDescent="0.2">
      <c r="D13">
        <v>3</v>
      </c>
      <c r="I13">
        <v>0</v>
      </c>
      <c r="M13">
        <v>1</v>
      </c>
      <c r="P13">
        <v>1</v>
      </c>
      <c r="T13">
        <v>0</v>
      </c>
      <c r="W13">
        <v>1</v>
      </c>
      <c r="Z13">
        <v>2</v>
      </c>
      <c r="AC13">
        <v>0</v>
      </c>
    </row>
    <row r="14" spans="1:29" x14ac:dyDescent="0.2">
      <c r="D14">
        <v>2</v>
      </c>
      <c r="I14">
        <v>5</v>
      </c>
      <c r="M14">
        <v>1</v>
      </c>
      <c r="P14">
        <v>3</v>
      </c>
      <c r="T14">
        <v>1</v>
      </c>
      <c r="W14">
        <v>1</v>
      </c>
      <c r="Z14">
        <v>1</v>
      </c>
      <c r="AC14">
        <v>1</v>
      </c>
    </row>
    <row r="15" spans="1:29" x14ac:dyDescent="0.2">
      <c r="D15">
        <v>2</v>
      </c>
      <c r="I15">
        <v>0</v>
      </c>
      <c r="M15">
        <v>1</v>
      </c>
      <c r="P15">
        <v>1</v>
      </c>
      <c r="T15">
        <v>0</v>
      </c>
      <c r="W15">
        <v>0</v>
      </c>
      <c r="Z15">
        <v>1</v>
      </c>
      <c r="AC15">
        <v>2</v>
      </c>
    </row>
    <row r="17" spans="3:29" x14ac:dyDescent="0.2">
      <c r="C17" s="3" t="s">
        <v>244</v>
      </c>
      <c r="D17">
        <v>0</v>
      </c>
      <c r="L17" s="3" t="s">
        <v>244</v>
      </c>
      <c r="M17">
        <v>1</v>
      </c>
      <c r="O17" s="3" t="s">
        <v>244</v>
      </c>
      <c r="S17" s="3" t="s">
        <v>244</v>
      </c>
      <c r="T17">
        <v>0</v>
      </c>
      <c r="V17" s="3" t="s">
        <v>244</v>
      </c>
      <c r="W17">
        <v>1</v>
      </c>
      <c r="Y17" s="3" t="s">
        <v>244</v>
      </c>
      <c r="Z17">
        <v>1</v>
      </c>
      <c r="AB17" s="3" t="s">
        <v>244</v>
      </c>
      <c r="AC17">
        <v>0</v>
      </c>
    </row>
    <row r="18" spans="3:29" x14ac:dyDescent="0.2">
      <c r="C18" s="5">
        <v>9967</v>
      </c>
      <c r="D18">
        <v>0</v>
      </c>
      <c r="L18" s="5">
        <v>6263</v>
      </c>
      <c r="M18">
        <v>4</v>
      </c>
      <c r="O18" s="5">
        <v>3926</v>
      </c>
      <c r="P18">
        <v>0</v>
      </c>
      <c r="S18" s="5">
        <v>3382</v>
      </c>
      <c r="T18">
        <v>0</v>
      </c>
      <c r="V18" s="5">
        <v>3294</v>
      </c>
      <c r="W18">
        <v>1</v>
      </c>
      <c r="Y18" s="5">
        <v>2413</v>
      </c>
      <c r="Z18">
        <v>0</v>
      </c>
      <c r="AB18" s="5">
        <v>3828</v>
      </c>
      <c r="AC18">
        <v>0</v>
      </c>
    </row>
    <row r="19" spans="3:29" x14ac:dyDescent="0.2">
      <c r="D19">
        <v>0</v>
      </c>
      <c r="M19">
        <v>2</v>
      </c>
      <c r="P19">
        <v>0</v>
      </c>
      <c r="T19">
        <v>0</v>
      </c>
      <c r="W19">
        <v>5</v>
      </c>
      <c r="Z19">
        <v>5</v>
      </c>
      <c r="AC19">
        <v>0</v>
      </c>
    </row>
    <row r="20" spans="3:29" x14ac:dyDescent="0.2">
      <c r="D20">
        <v>0</v>
      </c>
      <c r="M20">
        <v>1</v>
      </c>
      <c r="P20">
        <v>0</v>
      </c>
      <c r="T20">
        <v>0</v>
      </c>
      <c r="W20">
        <v>1</v>
      </c>
      <c r="Z20">
        <v>2</v>
      </c>
      <c r="AC20">
        <v>0</v>
      </c>
    </row>
    <row r="21" spans="3:29" x14ac:dyDescent="0.2">
      <c r="D21">
        <v>0</v>
      </c>
      <c r="M21">
        <v>1</v>
      </c>
      <c r="P21">
        <v>0</v>
      </c>
      <c r="T21">
        <v>0</v>
      </c>
      <c r="W21">
        <v>0</v>
      </c>
      <c r="Z21">
        <v>0</v>
      </c>
      <c r="AC21">
        <v>1</v>
      </c>
    </row>
    <row r="22" spans="3:29" x14ac:dyDescent="0.2">
      <c r="D22">
        <v>0</v>
      </c>
      <c r="M22">
        <v>2</v>
      </c>
      <c r="P22">
        <v>0</v>
      </c>
      <c r="T22">
        <v>0</v>
      </c>
      <c r="W22">
        <v>2</v>
      </c>
      <c r="Z22">
        <v>2</v>
      </c>
      <c r="AC22">
        <v>0</v>
      </c>
    </row>
    <row r="23" spans="3:29" x14ac:dyDescent="0.2">
      <c r="D23">
        <v>0</v>
      </c>
      <c r="M23">
        <v>2</v>
      </c>
      <c r="P23">
        <v>0</v>
      </c>
      <c r="T23">
        <v>0</v>
      </c>
      <c r="W23">
        <v>0</v>
      </c>
      <c r="Z23">
        <v>0</v>
      </c>
      <c r="AC23">
        <v>0</v>
      </c>
    </row>
    <row r="24" spans="3:29" x14ac:dyDescent="0.2">
      <c r="D24">
        <v>0</v>
      </c>
      <c r="M24">
        <v>1</v>
      </c>
      <c r="P24">
        <v>0</v>
      </c>
      <c r="T24">
        <v>0</v>
      </c>
      <c r="W24">
        <v>2</v>
      </c>
      <c r="Z24">
        <v>2</v>
      </c>
      <c r="AC24">
        <v>0</v>
      </c>
    </row>
    <row r="25" spans="3:29" x14ac:dyDescent="0.2">
      <c r="D25">
        <v>0</v>
      </c>
      <c r="M25">
        <v>1</v>
      </c>
      <c r="P25">
        <v>0</v>
      </c>
      <c r="T25">
        <v>0</v>
      </c>
      <c r="W25">
        <v>2</v>
      </c>
      <c r="Z25">
        <v>1</v>
      </c>
      <c r="AC25">
        <v>0</v>
      </c>
    </row>
    <row r="26" spans="3:29" x14ac:dyDescent="0.2">
      <c r="D26">
        <v>0</v>
      </c>
      <c r="M26">
        <v>1</v>
      </c>
      <c r="P26">
        <v>0</v>
      </c>
      <c r="T26">
        <v>0</v>
      </c>
      <c r="W26">
        <v>1</v>
      </c>
      <c r="Z26">
        <v>4</v>
      </c>
      <c r="AC26">
        <v>0</v>
      </c>
    </row>
    <row r="28" spans="3:29" x14ac:dyDescent="0.2">
      <c r="L28" s="3" t="s">
        <v>95</v>
      </c>
      <c r="M28">
        <v>1</v>
      </c>
      <c r="O28" s="3" t="s">
        <v>95</v>
      </c>
      <c r="P28">
        <v>2</v>
      </c>
      <c r="S28" s="3" t="s">
        <v>95</v>
      </c>
      <c r="T28">
        <v>3</v>
      </c>
      <c r="V28" s="3" t="s">
        <v>95</v>
      </c>
      <c r="W28">
        <v>1</v>
      </c>
      <c r="Y28" s="3" t="s">
        <v>95</v>
      </c>
      <c r="Z28">
        <v>0</v>
      </c>
      <c r="AB28" s="3" t="s">
        <v>95</v>
      </c>
      <c r="AC28">
        <v>2</v>
      </c>
    </row>
    <row r="29" spans="3:29" x14ac:dyDescent="0.2">
      <c r="C29" s="3" t="s">
        <v>95</v>
      </c>
      <c r="D29">
        <v>0</v>
      </c>
      <c r="L29" s="5">
        <f>2103+1491+1589</f>
        <v>5183</v>
      </c>
      <c r="M29">
        <v>1</v>
      </c>
      <c r="O29" s="5">
        <v>4589</v>
      </c>
      <c r="P29">
        <v>0</v>
      </c>
      <c r="S29" s="5">
        <v>5041</v>
      </c>
      <c r="T29">
        <v>1</v>
      </c>
      <c r="V29" s="5">
        <v>4979</v>
      </c>
      <c r="W29">
        <v>2</v>
      </c>
      <c r="Y29" s="5">
        <v>5673</v>
      </c>
      <c r="Z29">
        <v>0</v>
      </c>
      <c r="AB29" s="5">
        <v>4037</v>
      </c>
      <c r="AC29">
        <v>5</v>
      </c>
    </row>
    <row r="30" spans="3:29" x14ac:dyDescent="0.2">
      <c r="C30" s="5">
        <v>9428</v>
      </c>
      <c r="D30">
        <v>0</v>
      </c>
      <c r="L30" s="5"/>
      <c r="M30">
        <v>1</v>
      </c>
      <c r="P30">
        <v>5</v>
      </c>
      <c r="T30">
        <v>4</v>
      </c>
      <c r="W30">
        <v>2</v>
      </c>
      <c r="Z30">
        <v>2</v>
      </c>
      <c r="AC30">
        <v>3</v>
      </c>
    </row>
    <row r="31" spans="3:29" x14ac:dyDescent="0.2">
      <c r="D31">
        <v>3</v>
      </c>
      <c r="L31" s="5"/>
      <c r="M31">
        <v>0</v>
      </c>
      <c r="P31">
        <v>0</v>
      </c>
      <c r="T31">
        <v>0</v>
      </c>
      <c r="W31">
        <v>0</v>
      </c>
      <c r="Z31">
        <v>0</v>
      </c>
      <c r="AC31">
        <v>0</v>
      </c>
    </row>
    <row r="32" spans="3:29" x14ac:dyDescent="0.2">
      <c r="D32">
        <v>0</v>
      </c>
      <c r="L32" s="5"/>
      <c r="M32">
        <v>1</v>
      </c>
      <c r="P32">
        <v>0</v>
      </c>
      <c r="T32">
        <v>2</v>
      </c>
      <c r="W32">
        <v>2</v>
      </c>
      <c r="Z32">
        <v>0</v>
      </c>
      <c r="AC32">
        <v>2</v>
      </c>
    </row>
    <row r="33" spans="1:29" x14ac:dyDescent="0.2">
      <c r="D33">
        <v>5</v>
      </c>
      <c r="M33">
        <v>3</v>
      </c>
      <c r="P33">
        <v>0</v>
      </c>
      <c r="T33">
        <v>0</v>
      </c>
      <c r="W33">
        <v>1</v>
      </c>
      <c r="Z33">
        <v>6</v>
      </c>
      <c r="AC33">
        <v>3</v>
      </c>
    </row>
    <row r="34" spans="1:29" x14ac:dyDescent="0.2">
      <c r="D34">
        <v>0</v>
      </c>
      <c r="M34">
        <v>5</v>
      </c>
      <c r="P34">
        <v>0</v>
      </c>
      <c r="T34">
        <v>0</v>
      </c>
      <c r="W34">
        <v>5</v>
      </c>
      <c r="Z34">
        <v>0</v>
      </c>
      <c r="AC34">
        <v>0</v>
      </c>
    </row>
    <row r="35" spans="1:29" x14ac:dyDescent="0.2">
      <c r="D35">
        <v>0</v>
      </c>
      <c r="M35">
        <v>6</v>
      </c>
      <c r="P35">
        <v>0</v>
      </c>
      <c r="T35">
        <v>0</v>
      </c>
      <c r="W35">
        <v>0</v>
      </c>
      <c r="Z35">
        <v>0</v>
      </c>
      <c r="AC35">
        <v>0</v>
      </c>
    </row>
    <row r="36" spans="1:29" x14ac:dyDescent="0.2">
      <c r="D36">
        <v>0</v>
      </c>
      <c r="M36">
        <v>2</v>
      </c>
      <c r="P36">
        <v>6</v>
      </c>
      <c r="T36">
        <v>0</v>
      </c>
      <c r="W36">
        <v>1</v>
      </c>
      <c r="Z36">
        <v>2</v>
      </c>
      <c r="AC36">
        <v>1</v>
      </c>
    </row>
    <row r="37" spans="1:29" x14ac:dyDescent="0.2">
      <c r="D37">
        <v>0</v>
      </c>
      <c r="M37">
        <v>2</v>
      </c>
      <c r="P37">
        <v>0</v>
      </c>
      <c r="T37">
        <v>0</v>
      </c>
      <c r="W37">
        <v>5</v>
      </c>
      <c r="Z37">
        <v>5</v>
      </c>
      <c r="AC37">
        <v>0</v>
      </c>
    </row>
    <row r="38" spans="1:29" x14ac:dyDescent="0.2">
      <c r="D38">
        <v>0</v>
      </c>
    </row>
    <row r="41" spans="1:29" x14ac:dyDescent="0.2">
      <c r="A41" t="s">
        <v>245</v>
      </c>
      <c r="G41" t="s">
        <v>258</v>
      </c>
    </row>
    <row r="42" spans="1:29" x14ac:dyDescent="0.2">
      <c r="A42" t="s">
        <v>246</v>
      </c>
      <c r="G42" t="s">
        <v>259</v>
      </c>
    </row>
    <row r="43" spans="1:29" x14ac:dyDescent="0.2">
      <c r="G43" t="s">
        <v>263</v>
      </c>
    </row>
    <row r="44" spans="1:29" x14ac:dyDescent="0.2">
      <c r="A44" t="s">
        <v>247</v>
      </c>
      <c r="G44" t="s">
        <v>260</v>
      </c>
    </row>
    <row r="45" spans="1:29" x14ac:dyDescent="0.2">
      <c r="A45" t="s">
        <v>248</v>
      </c>
      <c r="B45" s="41" t="s">
        <v>240</v>
      </c>
      <c r="C45" s="41" t="s">
        <v>250</v>
      </c>
      <c r="D45" t="s">
        <v>249</v>
      </c>
      <c r="G45" t="s">
        <v>261</v>
      </c>
    </row>
    <row r="46" spans="1:29" x14ac:dyDescent="0.2">
      <c r="A46" s="40" t="s">
        <v>237</v>
      </c>
      <c r="B46" s="41">
        <f>COUNTIF(D6:D39,1)</f>
        <v>3</v>
      </c>
      <c r="C46" s="41">
        <f>COUNTIF(D6:D39,"&gt;0")</f>
        <v>10</v>
      </c>
      <c r="D46">
        <f>COUNTIF(D6:D39,0)</f>
        <v>20</v>
      </c>
    </row>
    <row r="47" spans="1:29" x14ac:dyDescent="0.2">
      <c r="A47" t="s">
        <v>236</v>
      </c>
      <c r="B47">
        <f>COUNTIF(M6:M39,1)</f>
        <v>18</v>
      </c>
      <c r="C47">
        <f>COUNTIF(M6:M39,"&gt;0")</f>
        <v>29</v>
      </c>
      <c r="D47">
        <f>COUNTIF(M6:M39,0)</f>
        <v>1</v>
      </c>
      <c r="G47" t="s">
        <v>262</v>
      </c>
    </row>
    <row r="48" spans="1:29" x14ac:dyDescent="0.2">
      <c r="A48" s="40" t="s">
        <v>254</v>
      </c>
      <c r="B48">
        <f>COUNTIF(P6:P39,1)</f>
        <v>2</v>
      </c>
      <c r="C48">
        <f>COUNTIF(P6:P39,"&gt;0")</f>
        <v>11</v>
      </c>
      <c r="D48">
        <f>COUNTIF(P6:P39,0)</f>
        <v>18</v>
      </c>
      <c r="G48" t="s">
        <v>271</v>
      </c>
    </row>
    <row r="49" spans="1:7" x14ac:dyDescent="0.2">
      <c r="A49" s="2" t="s">
        <v>255</v>
      </c>
      <c r="B49">
        <f>COUNTIF(T6:T39,1)</f>
        <v>3</v>
      </c>
      <c r="C49">
        <f>COUNTIF(T6:T39,"&gt;0")</f>
        <v>10</v>
      </c>
      <c r="D49">
        <f>COUNTIF(T6:T39,0)</f>
        <v>20</v>
      </c>
      <c r="G49" t="s">
        <v>264</v>
      </c>
    </row>
    <row r="50" spans="1:7" x14ac:dyDescent="0.2">
      <c r="A50" s="40" t="s">
        <v>256</v>
      </c>
      <c r="B50">
        <f>COUNTIF(W6:W39,1)</f>
        <v>12</v>
      </c>
      <c r="C50">
        <f>COUNTIF(W6:W39,"&gt;0")</f>
        <v>22</v>
      </c>
      <c r="D50">
        <f>COUNTIF(W6:W39,0)</f>
        <v>8</v>
      </c>
      <c r="G50" t="s">
        <v>269</v>
      </c>
    </row>
    <row r="51" spans="1:7" x14ac:dyDescent="0.2">
      <c r="A51" s="24" t="s">
        <v>257</v>
      </c>
      <c r="B51">
        <f>COUNTIF(Z6:Z39,1)</f>
        <v>6</v>
      </c>
      <c r="C51">
        <f>COUNTIF(Z6:Z39,"&gt;0")</f>
        <v>20</v>
      </c>
      <c r="D51">
        <f>COUNTIF(Z6:Z39,0)</f>
        <v>10</v>
      </c>
      <c r="G51" t="s">
        <v>270</v>
      </c>
    </row>
    <row r="52" spans="1:7" x14ac:dyDescent="0.2">
      <c r="A52" s="5" t="s">
        <v>253</v>
      </c>
      <c r="B52">
        <f>COUNTIF(AC6:AC39,1)</f>
        <v>7</v>
      </c>
      <c r="C52">
        <f>COUNTIF(AC6:AC39,"&gt;0")</f>
        <v>15</v>
      </c>
      <c r="D52">
        <f>COUNTIF(AC6:AC39,0)</f>
        <v>15</v>
      </c>
      <c r="G52" t="s">
        <v>265</v>
      </c>
    </row>
    <row r="54" spans="1:7" x14ac:dyDescent="0.2">
      <c r="G54" t="s">
        <v>266</v>
      </c>
    </row>
    <row r="55" spans="1:7" x14ac:dyDescent="0.2">
      <c r="A55" t="s">
        <v>247</v>
      </c>
      <c r="G55" t="s">
        <v>267</v>
      </c>
    </row>
    <row r="56" spans="1:7" x14ac:dyDescent="0.2">
      <c r="A56" t="s">
        <v>248</v>
      </c>
      <c r="B56" s="41" t="s">
        <v>240</v>
      </c>
      <c r="C56" s="41" t="s">
        <v>250</v>
      </c>
      <c r="D56" t="s">
        <v>249</v>
      </c>
      <c r="G56" t="s">
        <v>268</v>
      </c>
    </row>
    <row r="57" spans="1:7" x14ac:dyDescent="0.2">
      <c r="A57" s="40" t="s">
        <v>237</v>
      </c>
      <c r="B57" s="43">
        <f>B46/$B4</f>
        <v>0.1</v>
      </c>
      <c r="C57" s="43">
        <f>C46/B4</f>
        <v>0.33333333333333331</v>
      </c>
      <c r="D57" s="13">
        <f>D46/B4</f>
        <v>0.66666666666666663</v>
      </c>
    </row>
    <row r="58" spans="1:7" x14ac:dyDescent="0.2">
      <c r="A58" t="s">
        <v>236</v>
      </c>
      <c r="B58" s="43">
        <f>B47/$B4</f>
        <v>0.6</v>
      </c>
      <c r="C58" s="43">
        <f>C47/B4</f>
        <v>0.96666666666666667</v>
      </c>
      <c r="D58" s="13">
        <f>D47/B4</f>
        <v>3.3333333333333333E-2</v>
      </c>
    </row>
    <row r="59" spans="1:7" x14ac:dyDescent="0.2">
      <c r="A59" s="40" t="s">
        <v>254</v>
      </c>
      <c r="B59" s="43">
        <f>B48/$B4</f>
        <v>6.6666666666666666E-2</v>
      </c>
      <c r="C59" s="43">
        <f>C48/B4</f>
        <v>0.36666666666666664</v>
      </c>
      <c r="D59" s="13">
        <f>D48/B4</f>
        <v>0.6</v>
      </c>
    </row>
    <row r="60" spans="1:7" x14ac:dyDescent="0.2">
      <c r="A60" s="2" t="s">
        <v>255</v>
      </c>
      <c r="B60" s="43">
        <f>B49/$B4</f>
        <v>0.1</v>
      </c>
      <c r="C60" s="43">
        <f>C49/B4</f>
        <v>0.33333333333333331</v>
      </c>
      <c r="D60" s="13">
        <f>D49/B4</f>
        <v>0.66666666666666663</v>
      </c>
    </row>
    <row r="61" spans="1:7" x14ac:dyDescent="0.2">
      <c r="A61" s="40" t="s">
        <v>256</v>
      </c>
      <c r="B61" s="43">
        <f>B50/$B4</f>
        <v>0.4</v>
      </c>
      <c r="C61" s="43">
        <f>C50/B4</f>
        <v>0.73333333333333328</v>
      </c>
      <c r="D61" s="13">
        <f>D50/B4</f>
        <v>0.26666666666666666</v>
      </c>
    </row>
    <row r="62" spans="1:7" x14ac:dyDescent="0.2">
      <c r="A62" s="24" t="s">
        <v>257</v>
      </c>
      <c r="B62" s="43">
        <f>B51/$B4</f>
        <v>0.2</v>
      </c>
      <c r="C62" s="43">
        <f>C51/B4</f>
        <v>0.66666666666666663</v>
      </c>
      <c r="D62" s="13">
        <f>D51/B4</f>
        <v>0.33333333333333331</v>
      </c>
    </row>
    <row r="63" spans="1:7" x14ac:dyDescent="0.2">
      <c r="A63" s="5" t="s">
        <v>253</v>
      </c>
      <c r="B63" s="43">
        <f>B52/$B4</f>
        <v>0.23333333333333334</v>
      </c>
      <c r="C63" s="43">
        <f>C52/B4</f>
        <v>0.5</v>
      </c>
      <c r="D63" s="13">
        <f>D52/B4</f>
        <v>0.5</v>
      </c>
    </row>
    <row r="76" spans="1:4" x14ac:dyDescent="0.2">
      <c r="A76" t="s">
        <v>247</v>
      </c>
    </row>
    <row r="77" spans="1:4" x14ac:dyDescent="0.2">
      <c r="A77" t="s">
        <v>248</v>
      </c>
      <c r="B77" t="s">
        <v>240</v>
      </c>
      <c r="C77" t="s">
        <v>250</v>
      </c>
      <c r="D77" t="s">
        <v>249</v>
      </c>
    </row>
    <row r="78" spans="1:4" x14ac:dyDescent="0.2">
      <c r="A78" t="s">
        <v>296</v>
      </c>
      <c r="B78" s="13">
        <v>0.6</v>
      </c>
      <c r="C78" s="13">
        <v>0.96666666666666667</v>
      </c>
      <c r="D78" s="13">
        <v>3.3333333333333333E-2</v>
      </c>
    </row>
    <row r="79" spans="1:4" x14ac:dyDescent="0.2">
      <c r="A79" t="s">
        <v>297</v>
      </c>
      <c r="B79" s="13">
        <v>0.4</v>
      </c>
      <c r="C79" s="13">
        <v>0.73333333333333328</v>
      </c>
      <c r="D79" s="13">
        <v>0.26666666666666666</v>
      </c>
    </row>
    <row r="80" spans="1:4" x14ac:dyDescent="0.2">
      <c r="A80" t="s">
        <v>298</v>
      </c>
      <c r="B80" s="13">
        <v>0.2</v>
      </c>
      <c r="C80" s="13">
        <v>0.66666666666666663</v>
      </c>
      <c r="D80" s="13">
        <v>0.33333333333333331</v>
      </c>
    </row>
    <row r="81" spans="1:4" x14ac:dyDescent="0.2">
      <c r="A81" t="s">
        <v>299</v>
      </c>
      <c r="B81" s="13">
        <v>0.23333333333333334</v>
      </c>
      <c r="C81" s="13">
        <v>0.5</v>
      </c>
      <c r="D81" s="13">
        <v>0.5</v>
      </c>
    </row>
    <row r="82" spans="1:4" x14ac:dyDescent="0.2">
      <c r="A82" t="s">
        <v>300</v>
      </c>
      <c r="B82" s="13">
        <v>6.6666666666666666E-2</v>
      </c>
      <c r="C82" s="13">
        <v>0.36666666666666664</v>
      </c>
      <c r="D82" s="13">
        <v>0.6</v>
      </c>
    </row>
    <row r="83" spans="1:4" x14ac:dyDescent="0.2">
      <c r="A83" t="s">
        <v>301</v>
      </c>
      <c r="B83" s="13">
        <v>0.1</v>
      </c>
      <c r="C83" s="13">
        <v>0.33333333333333331</v>
      </c>
      <c r="D83" s="13">
        <v>0.66666666666666663</v>
      </c>
    </row>
    <row r="84" spans="1:4" x14ac:dyDescent="0.2">
      <c r="A84" t="s">
        <v>302</v>
      </c>
      <c r="B84" s="13">
        <v>0.1</v>
      </c>
      <c r="C84" s="13">
        <v>0.33333333333333331</v>
      </c>
      <c r="D84" s="13">
        <v>0.66666666666666663</v>
      </c>
    </row>
  </sheetData>
  <sortState xmlns:xlrd2="http://schemas.microsoft.com/office/spreadsheetml/2017/richdata2" ref="A78:D84">
    <sortCondition descending="1" ref="C78:C84"/>
  </sortState>
  <hyperlinks>
    <hyperlink ref="D5" r:id="rId1" display="pass@1" xr:uid="{9CAD3933-1126-7D41-8FD3-A5B719804B41}"/>
    <hyperlink ref="I5" r:id="rId2" display="pass@1" xr:uid="{D9162DA5-D955-EB4F-BAD5-41EAF1A4E240}"/>
    <hyperlink ref="B45" r:id="rId3" xr:uid="{E048771E-7DE2-7D4A-9C39-3E9B7CE87346}"/>
    <hyperlink ref="C45" r:id="rId4" xr:uid="{B820458A-5D56-DE4C-AEE8-9024C119D616}"/>
    <hyperlink ref="B56" r:id="rId5" xr:uid="{4D99D2A0-0E21-DA4E-A699-40F3A53AF8DF}"/>
    <hyperlink ref="C56" r:id="rId6" xr:uid="{8149661B-A3DE-3048-95C8-951BD0D05FE6}"/>
  </hyperlinks>
  <pageMargins left="0.7" right="0.7" top="0.75" bottom="0.75" header="0.3" footer="0.3"/>
  <pageSetup paperSize="9" orientation="portrait" horizontalDpi="0" verticalDpi="0"/>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EA0D-1EFC-7841-B08F-9DB444A9AAC9}">
  <dimension ref="A2:AV58"/>
  <sheetViews>
    <sheetView topLeftCell="T1" zoomScale="105" workbookViewId="0">
      <selection activeCell="Y6" sqref="Y6"/>
    </sheetView>
  </sheetViews>
  <sheetFormatPr baseColWidth="10" defaultRowHeight="16" x14ac:dyDescent="0.2"/>
  <sheetData>
    <row r="2" spans="1:48" x14ac:dyDescent="0.2">
      <c r="A2" t="s">
        <v>163</v>
      </c>
      <c r="D2" t="s">
        <v>160</v>
      </c>
      <c r="E2" t="s">
        <v>161</v>
      </c>
      <c r="F2" t="s">
        <v>103</v>
      </c>
      <c r="I2" t="s">
        <v>49</v>
      </c>
    </row>
    <row r="5" spans="1:48" x14ac:dyDescent="0.2">
      <c r="A5" s="14"/>
      <c r="B5" s="14" t="s">
        <v>80</v>
      </c>
      <c r="C5" s="14" t="s">
        <v>79</v>
      </c>
      <c r="D5" s="2" t="s">
        <v>163</v>
      </c>
      <c r="G5" s="14" t="s">
        <v>80</v>
      </c>
      <c r="H5" s="14" t="s">
        <v>79</v>
      </c>
      <c r="I5" s="2" t="s">
        <v>163</v>
      </c>
      <c r="J5" s="14" t="s">
        <v>167</v>
      </c>
      <c r="K5" s="14" t="s">
        <v>168</v>
      </c>
      <c r="N5" s="14" t="s">
        <v>80</v>
      </c>
      <c r="O5" s="14" t="s">
        <v>79</v>
      </c>
      <c r="P5" s="2" t="s">
        <v>163</v>
      </c>
      <c r="Q5" s="14" t="s">
        <v>167</v>
      </c>
      <c r="R5" s="14" t="s">
        <v>168</v>
      </c>
      <c r="S5" s="14" t="s">
        <v>169</v>
      </c>
      <c r="T5" s="14" t="s">
        <v>170</v>
      </c>
      <c r="W5" s="2" t="s">
        <v>163</v>
      </c>
      <c r="Z5" s="2" t="s">
        <v>163</v>
      </c>
      <c r="AC5" s="2" t="s">
        <v>163</v>
      </c>
      <c r="AF5" s="2" t="s">
        <v>163</v>
      </c>
      <c r="AI5" s="2" t="s">
        <v>163</v>
      </c>
      <c r="AL5" s="2" t="s">
        <v>163</v>
      </c>
      <c r="AO5" s="2" t="s">
        <v>163</v>
      </c>
      <c r="AQ5" s="14"/>
      <c r="AR5" s="14" t="s">
        <v>80</v>
      </c>
      <c r="AS5" s="14" t="s">
        <v>79</v>
      </c>
      <c r="AT5" s="2" t="s">
        <v>163</v>
      </c>
      <c r="AU5" s="14" t="s">
        <v>167</v>
      </c>
      <c r="AV5" s="14" t="s">
        <v>168</v>
      </c>
    </row>
    <row r="6" spans="1:48" x14ac:dyDescent="0.2">
      <c r="A6" s="2" t="s">
        <v>50</v>
      </c>
      <c r="B6" s="2"/>
      <c r="C6" s="2"/>
      <c r="F6" s="2" t="s">
        <v>171</v>
      </c>
      <c r="M6" s="2" t="s">
        <v>53</v>
      </c>
      <c r="N6" s="2"/>
      <c r="O6" s="2"/>
      <c r="V6" s="2" t="s">
        <v>172</v>
      </c>
      <c r="Y6" s="24" t="s">
        <v>162</v>
      </c>
      <c r="AB6" s="2" t="s">
        <v>4</v>
      </c>
      <c r="AE6" s="2" t="s">
        <v>173</v>
      </c>
      <c r="AH6" s="2" t="s">
        <v>6</v>
      </c>
      <c r="AK6" s="2" t="s">
        <v>15</v>
      </c>
      <c r="AN6" s="2" t="s">
        <v>40</v>
      </c>
      <c r="AQ6" s="2" t="s">
        <v>174</v>
      </c>
      <c r="AR6" s="2"/>
      <c r="AS6" s="2"/>
      <c r="AU6">
        <v>0.92</v>
      </c>
      <c r="AV6">
        <v>1</v>
      </c>
    </row>
    <row r="7" spans="1:48" x14ac:dyDescent="0.2">
      <c r="D7">
        <v>1</v>
      </c>
      <c r="I7">
        <v>1</v>
      </c>
      <c r="J7">
        <v>1</v>
      </c>
      <c r="K7">
        <v>1</v>
      </c>
      <c r="N7" s="26">
        <v>0.55000000000000004</v>
      </c>
      <c r="O7" s="26">
        <v>1</v>
      </c>
      <c r="P7">
        <v>0</v>
      </c>
      <c r="Q7" s="29">
        <v>0.97</v>
      </c>
      <c r="R7" s="26">
        <v>1</v>
      </c>
      <c r="S7">
        <v>1</v>
      </c>
      <c r="T7">
        <v>1</v>
      </c>
      <c r="W7" s="5">
        <v>0.66669999999999996</v>
      </c>
      <c r="Z7">
        <v>1</v>
      </c>
      <c r="AC7" s="5">
        <v>0.9929</v>
      </c>
      <c r="AF7" s="5">
        <v>0.66669999999999996</v>
      </c>
      <c r="AI7">
        <v>0</v>
      </c>
      <c r="AL7">
        <v>1</v>
      </c>
      <c r="AN7">
        <v>1</v>
      </c>
      <c r="AU7">
        <v>0.99</v>
      </c>
      <c r="AV7">
        <v>1</v>
      </c>
    </row>
    <row r="8" spans="1:48" x14ac:dyDescent="0.2">
      <c r="D8" s="5">
        <v>0.85709999999999997</v>
      </c>
      <c r="I8">
        <v>1</v>
      </c>
      <c r="J8">
        <v>1</v>
      </c>
      <c r="K8">
        <v>1</v>
      </c>
      <c r="N8" s="26">
        <v>0.81</v>
      </c>
      <c r="O8" s="26">
        <v>0</v>
      </c>
      <c r="P8">
        <v>0.15</v>
      </c>
      <c r="Q8" s="26">
        <v>0.8</v>
      </c>
      <c r="R8" s="26">
        <v>0</v>
      </c>
      <c r="S8">
        <v>0.68</v>
      </c>
      <c r="T8">
        <v>0</v>
      </c>
      <c r="W8" s="5">
        <v>0.55559999999999998</v>
      </c>
      <c r="Z8">
        <v>1</v>
      </c>
      <c r="AC8" s="5">
        <v>0.91669999999999996</v>
      </c>
      <c r="AF8" s="5">
        <v>0.91669999999999996</v>
      </c>
      <c r="AI8">
        <v>0</v>
      </c>
      <c r="AL8">
        <v>1</v>
      </c>
      <c r="AN8">
        <v>1</v>
      </c>
      <c r="AU8">
        <v>0.97</v>
      </c>
      <c r="AV8">
        <v>1</v>
      </c>
    </row>
    <row r="9" spans="1:48" x14ac:dyDescent="0.2">
      <c r="D9">
        <v>1</v>
      </c>
      <c r="I9">
        <v>1</v>
      </c>
      <c r="J9">
        <v>1</v>
      </c>
      <c r="K9">
        <v>1</v>
      </c>
      <c r="N9" s="26">
        <v>1</v>
      </c>
      <c r="O9" s="26">
        <v>1</v>
      </c>
      <c r="P9">
        <v>0</v>
      </c>
      <c r="Q9" s="26">
        <v>1</v>
      </c>
      <c r="R9" s="26">
        <v>1</v>
      </c>
      <c r="S9">
        <v>1</v>
      </c>
      <c r="T9" s="30">
        <v>0.46</v>
      </c>
      <c r="W9" s="5">
        <v>0.83330000000000004</v>
      </c>
      <c r="Z9">
        <v>1</v>
      </c>
      <c r="AC9" s="5">
        <v>0.72140000000000004</v>
      </c>
      <c r="AF9" s="5">
        <v>0.83330000000000004</v>
      </c>
      <c r="AI9" s="5">
        <v>4.99E-2</v>
      </c>
      <c r="AL9" s="5">
        <v>0.71430000000000005</v>
      </c>
      <c r="AN9">
        <v>1</v>
      </c>
      <c r="AU9">
        <v>1</v>
      </c>
      <c r="AV9">
        <v>1</v>
      </c>
    </row>
    <row r="10" spans="1:48" x14ac:dyDescent="0.2">
      <c r="D10">
        <v>1</v>
      </c>
      <c r="I10">
        <v>1</v>
      </c>
      <c r="J10">
        <v>1</v>
      </c>
      <c r="K10">
        <v>1</v>
      </c>
      <c r="N10" s="26">
        <v>0.67</v>
      </c>
      <c r="O10" s="26">
        <v>0.1</v>
      </c>
      <c r="P10">
        <v>0.21</v>
      </c>
      <c r="Q10" s="26">
        <v>0.8</v>
      </c>
      <c r="R10" s="26">
        <v>0</v>
      </c>
      <c r="S10">
        <v>0.67</v>
      </c>
      <c r="T10">
        <v>0</v>
      </c>
      <c r="W10" s="5">
        <v>0.33329999999999999</v>
      </c>
      <c r="Z10">
        <v>1</v>
      </c>
      <c r="AC10" s="5">
        <v>0.57140000000000002</v>
      </c>
      <c r="AF10" s="5" t="s">
        <v>166</v>
      </c>
      <c r="AI10">
        <v>0</v>
      </c>
      <c r="AL10" s="5">
        <v>0.64290000000000003</v>
      </c>
      <c r="AN10" s="5">
        <v>0.19400000000000001</v>
      </c>
      <c r="AU10">
        <v>0.94</v>
      </c>
      <c r="AV10">
        <v>1</v>
      </c>
    </row>
    <row r="11" spans="1:48" x14ac:dyDescent="0.2">
      <c r="D11" s="5">
        <v>0.85709999999999997</v>
      </c>
      <c r="I11">
        <v>1</v>
      </c>
      <c r="J11">
        <v>1</v>
      </c>
      <c r="K11">
        <v>1</v>
      </c>
      <c r="N11" s="26">
        <v>0.6</v>
      </c>
      <c r="O11" s="26">
        <v>1</v>
      </c>
      <c r="P11">
        <v>0</v>
      </c>
      <c r="Q11" s="26">
        <v>0.8</v>
      </c>
      <c r="R11" s="29">
        <v>0</v>
      </c>
      <c r="S11">
        <v>0.67</v>
      </c>
      <c r="T11">
        <v>0</v>
      </c>
      <c r="W11" s="5">
        <v>0.42859999999999998</v>
      </c>
      <c r="Z11">
        <v>1</v>
      </c>
      <c r="AC11">
        <v>0.85709999999999997</v>
      </c>
      <c r="AF11" s="5">
        <v>0.83330000000000004</v>
      </c>
      <c r="AI11">
        <v>0</v>
      </c>
      <c r="AL11" s="5">
        <v>0.71430000000000005</v>
      </c>
      <c r="AN11">
        <v>1</v>
      </c>
      <c r="AU11">
        <v>0.99</v>
      </c>
      <c r="AV11">
        <v>1</v>
      </c>
    </row>
    <row r="12" spans="1:48" x14ac:dyDescent="0.2">
      <c r="D12">
        <v>1</v>
      </c>
      <c r="I12">
        <v>1</v>
      </c>
      <c r="J12">
        <v>1</v>
      </c>
      <c r="K12">
        <v>1</v>
      </c>
      <c r="N12" s="26">
        <v>0</v>
      </c>
      <c r="O12" s="26">
        <v>0</v>
      </c>
      <c r="P12">
        <v>0</v>
      </c>
      <c r="Q12" s="29">
        <v>0.8</v>
      </c>
      <c r="R12" s="26">
        <v>0</v>
      </c>
      <c r="S12">
        <v>0.68</v>
      </c>
      <c r="T12">
        <v>0</v>
      </c>
      <c r="W12" s="5">
        <v>0.33329999999999999</v>
      </c>
      <c r="Z12">
        <v>1</v>
      </c>
      <c r="AC12" s="5">
        <v>0.875</v>
      </c>
      <c r="AF12" s="5">
        <v>0.83330000000000004</v>
      </c>
      <c r="AI12">
        <v>0</v>
      </c>
      <c r="AL12" s="5">
        <v>0.71430000000000005</v>
      </c>
      <c r="AN12">
        <v>1</v>
      </c>
      <c r="AU12">
        <v>0.97</v>
      </c>
      <c r="AV12">
        <v>0.8</v>
      </c>
    </row>
    <row r="13" spans="1:48" x14ac:dyDescent="0.2">
      <c r="D13">
        <v>1</v>
      </c>
      <c r="I13">
        <v>1</v>
      </c>
      <c r="J13">
        <v>1</v>
      </c>
      <c r="K13">
        <v>1</v>
      </c>
      <c r="N13" s="26">
        <v>0</v>
      </c>
      <c r="O13" s="26">
        <v>0</v>
      </c>
      <c r="P13">
        <v>0.25</v>
      </c>
      <c r="Q13" s="29">
        <v>0.8</v>
      </c>
      <c r="R13" s="26">
        <v>0</v>
      </c>
      <c r="S13">
        <v>0.67</v>
      </c>
      <c r="T13">
        <v>0</v>
      </c>
      <c r="W13" s="5">
        <v>0.75</v>
      </c>
      <c r="Z13">
        <v>1</v>
      </c>
      <c r="AC13" s="5">
        <v>1</v>
      </c>
      <c r="AF13">
        <v>1</v>
      </c>
      <c r="AI13" s="5">
        <v>5.5599999999999997E-2</v>
      </c>
      <c r="AL13" s="5">
        <v>0.75</v>
      </c>
      <c r="AN13">
        <v>1</v>
      </c>
      <c r="AU13">
        <v>0.93</v>
      </c>
      <c r="AV13">
        <v>0.09</v>
      </c>
    </row>
    <row r="14" spans="1:48" x14ac:dyDescent="0.2">
      <c r="D14">
        <v>1</v>
      </c>
      <c r="I14">
        <v>1</v>
      </c>
      <c r="J14">
        <v>1</v>
      </c>
      <c r="K14">
        <v>1</v>
      </c>
      <c r="N14" s="26">
        <v>0</v>
      </c>
      <c r="O14" s="26">
        <v>0</v>
      </c>
      <c r="P14">
        <v>0</v>
      </c>
      <c r="Q14" s="29">
        <v>0.8</v>
      </c>
      <c r="R14" s="26">
        <v>0</v>
      </c>
      <c r="S14">
        <v>0.67</v>
      </c>
      <c r="T14">
        <v>0</v>
      </c>
      <c r="W14" s="5">
        <v>1</v>
      </c>
      <c r="Z14">
        <v>1</v>
      </c>
      <c r="AC14" s="5">
        <v>1</v>
      </c>
      <c r="AF14">
        <v>1</v>
      </c>
      <c r="AI14">
        <v>0</v>
      </c>
      <c r="AL14" s="5">
        <v>1</v>
      </c>
      <c r="AN14">
        <v>1</v>
      </c>
      <c r="AU14">
        <v>0.96</v>
      </c>
      <c r="AV14">
        <v>0.5</v>
      </c>
    </row>
    <row r="15" spans="1:48" x14ac:dyDescent="0.2">
      <c r="D15">
        <v>1</v>
      </c>
      <c r="I15">
        <v>1</v>
      </c>
      <c r="J15">
        <v>1</v>
      </c>
      <c r="K15">
        <v>1</v>
      </c>
      <c r="N15" s="26">
        <v>0</v>
      </c>
      <c r="O15" s="26">
        <v>0</v>
      </c>
      <c r="P15">
        <v>0</v>
      </c>
      <c r="Q15" s="29">
        <v>1</v>
      </c>
      <c r="R15" s="29">
        <v>1</v>
      </c>
      <c r="S15">
        <v>1</v>
      </c>
      <c r="T15">
        <v>1</v>
      </c>
      <c r="W15">
        <v>0</v>
      </c>
      <c r="Z15">
        <v>1</v>
      </c>
      <c r="AC15" s="5">
        <v>0</v>
      </c>
      <c r="AF15">
        <v>1</v>
      </c>
      <c r="AI15">
        <v>0</v>
      </c>
      <c r="AL15" s="5">
        <v>1</v>
      </c>
      <c r="AN15">
        <v>1</v>
      </c>
      <c r="AU15">
        <v>1</v>
      </c>
      <c r="AV15">
        <v>1</v>
      </c>
    </row>
    <row r="16" spans="1:48" x14ac:dyDescent="0.2">
      <c r="D16">
        <v>1</v>
      </c>
      <c r="I16">
        <v>1</v>
      </c>
      <c r="J16">
        <v>1</v>
      </c>
      <c r="K16">
        <v>1</v>
      </c>
      <c r="N16" s="26">
        <v>0</v>
      </c>
      <c r="O16" s="26">
        <v>0</v>
      </c>
      <c r="P16">
        <v>0.5</v>
      </c>
      <c r="Q16" s="29">
        <v>0.75</v>
      </c>
      <c r="R16" s="26">
        <v>0</v>
      </c>
      <c r="S16">
        <v>0.68</v>
      </c>
      <c r="T16">
        <v>0</v>
      </c>
      <c r="W16" s="5">
        <v>0.33329999999999999</v>
      </c>
      <c r="Z16">
        <v>1</v>
      </c>
      <c r="AC16" s="5">
        <v>1</v>
      </c>
      <c r="AF16">
        <v>1</v>
      </c>
      <c r="AI16">
        <v>0.5</v>
      </c>
      <c r="AL16" s="5">
        <v>1</v>
      </c>
      <c r="AN16">
        <v>1</v>
      </c>
      <c r="AU16">
        <v>0.96</v>
      </c>
      <c r="AV16">
        <v>1</v>
      </c>
    </row>
    <row r="17" spans="4:48" x14ac:dyDescent="0.2">
      <c r="D17" s="3">
        <v>0</v>
      </c>
      <c r="I17" s="3">
        <v>0.33</v>
      </c>
      <c r="J17">
        <v>1</v>
      </c>
      <c r="K17">
        <v>1</v>
      </c>
      <c r="N17" s="26">
        <v>0.56999999999999995</v>
      </c>
      <c r="O17" s="26">
        <v>1</v>
      </c>
      <c r="P17" s="3">
        <v>0</v>
      </c>
      <c r="Q17" s="29">
        <v>1</v>
      </c>
      <c r="R17" s="26">
        <v>1</v>
      </c>
      <c r="S17">
        <v>1</v>
      </c>
      <c r="T17">
        <v>0</v>
      </c>
      <c r="W17" s="5">
        <v>0.5</v>
      </c>
      <c r="Z17">
        <v>1</v>
      </c>
      <c r="AC17" s="5">
        <v>0.66669999999999996</v>
      </c>
      <c r="AF17">
        <v>1</v>
      </c>
      <c r="AI17">
        <v>0</v>
      </c>
      <c r="AL17" s="5">
        <v>0.33329999999999999</v>
      </c>
      <c r="AN17">
        <v>0</v>
      </c>
      <c r="AU17">
        <v>1</v>
      </c>
      <c r="AV17">
        <v>1</v>
      </c>
    </row>
    <row r="18" spans="4:48" x14ac:dyDescent="0.2">
      <c r="D18" s="3"/>
      <c r="I18" s="3"/>
      <c r="J18">
        <v>1</v>
      </c>
      <c r="K18">
        <v>1</v>
      </c>
      <c r="N18" s="26">
        <v>1</v>
      </c>
      <c r="O18" s="26">
        <v>1</v>
      </c>
      <c r="P18" s="3"/>
      <c r="Q18" s="29">
        <v>0.26</v>
      </c>
      <c r="R18" s="26">
        <v>1</v>
      </c>
      <c r="S18" s="31">
        <v>1</v>
      </c>
      <c r="T18" s="3">
        <v>0.8</v>
      </c>
      <c r="W18" s="5"/>
      <c r="AU18">
        <v>1</v>
      </c>
      <c r="AV18">
        <v>1</v>
      </c>
    </row>
    <row r="19" spans="4:48" x14ac:dyDescent="0.2">
      <c r="D19" s="3"/>
      <c r="I19" s="3"/>
      <c r="J19">
        <v>1</v>
      </c>
      <c r="K19">
        <v>1</v>
      </c>
      <c r="N19" s="26">
        <v>0.68</v>
      </c>
      <c r="O19" s="26">
        <v>1</v>
      </c>
      <c r="P19" s="3"/>
      <c r="Q19" s="29">
        <v>0.05</v>
      </c>
      <c r="R19" s="26">
        <v>1</v>
      </c>
      <c r="S19" s="31">
        <v>1</v>
      </c>
      <c r="T19" s="3">
        <v>1</v>
      </c>
      <c r="W19" s="5"/>
      <c r="AU19">
        <v>1</v>
      </c>
      <c r="AV19">
        <v>0.91</v>
      </c>
    </row>
    <row r="20" spans="4:48" x14ac:dyDescent="0.2">
      <c r="D20" s="3"/>
      <c r="I20" s="3"/>
      <c r="J20">
        <v>1</v>
      </c>
      <c r="K20">
        <v>1</v>
      </c>
      <c r="N20" s="26">
        <v>0.4</v>
      </c>
      <c r="O20" s="26">
        <v>1</v>
      </c>
      <c r="P20" s="3"/>
      <c r="Q20" s="26">
        <v>0.18</v>
      </c>
      <c r="R20" s="26">
        <v>0.67</v>
      </c>
      <c r="S20" s="31">
        <v>0.95</v>
      </c>
      <c r="T20" s="3">
        <v>0.5</v>
      </c>
      <c r="W20" s="5"/>
      <c r="AU20" s="26">
        <v>0.97</v>
      </c>
      <c r="AV20" s="26">
        <v>1</v>
      </c>
    </row>
    <row r="21" spans="4:48" x14ac:dyDescent="0.2">
      <c r="D21" s="3"/>
      <c r="I21" s="3"/>
      <c r="J21">
        <v>1</v>
      </c>
      <c r="K21">
        <v>1</v>
      </c>
      <c r="N21" s="26"/>
      <c r="O21" s="26">
        <v>1</v>
      </c>
      <c r="P21" s="3"/>
      <c r="Q21" s="26"/>
      <c r="R21">
        <v>1</v>
      </c>
      <c r="S21" s="6"/>
      <c r="T21" s="6">
        <v>1</v>
      </c>
      <c r="W21" s="5"/>
      <c r="AV21">
        <v>1</v>
      </c>
    </row>
    <row r="22" spans="4:48" x14ac:dyDescent="0.2">
      <c r="D22" s="3"/>
      <c r="I22" s="3"/>
      <c r="J22" s="3"/>
      <c r="K22" s="3"/>
      <c r="N22" s="26"/>
      <c r="O22" s="26">
        <v>1</v>
      </c>
      <c r="P22" s="3"/>
      <c r="Q22" s="3"/>
      <c r="R22">
        <v>1</v>
      </c>
      <c r="S22" s="6"/>
      <c r="T22" s="6">
        <v>1</v>
      </c>
      <c r="W22" s="5"/>
      <c r="AV22">
        <v>1</v>
      </c>
    </row>
    <row r="23" spans="4:48" x14ac:dyDescent="0.2">
      <c r="D23" s="3"/>
      <c r="I23" s="3"/>
      <c r="J23" s="3"/>
      <c r="K23" s="3"/>
      <c r="N23" s="26"/>
      <c r="O23">
        <v>1</v>
      </c>
      <c r="P23" s="3"/>
      <c r="Q23" s="3"/>
      <c r="R23">
        <v>0.7</v>
      </c>
      <c r="S23" s="6"/>
      <c r="T23" s="5">
        <v>0</v>
      </c>
      <c r="W23" s="5"/>
      <c r="AV23">
        <v>1</v>
      </c>
    </row>
    <row r="24" spans="4:48" x14ac:dyDescent="0.2">
      <c r="D24" s="3"/>
      <c r="I24" s="3"/>
      <c r="J24" s="3"/>
      <c r="K24" s="3"/>
      <c r="N24" s="26"/>
      <c r="O24">
        <v>1</v>
      </c>
      <c r="P24" s="3"/>
      <c r="Q24" s="3"/>
      <c r="R24">
        <v>1</v>
      </c>
      <c r="S24" s="6"/>
      <c r="T24" s="6">
        <v>1</v>
      </c>
      <c r="W24" s="5"/>
      <c r="AV24">
        <v>1</v>
      </c>
    </row>
    <row r="25" spans="4:48" x14ac:dyDescent="0.2">
      <c r="D25" s="3"/>
      <c r="I25" s="3"/>
      <c r="J25" s="3"/>
      <c r="K25" s="3"/>
      <c r="N25" s="26"/>
      <c r="O25">
        <v>1</v>
      </c>
      <c r="P25" s="3"/>
      <c r="Q25" s="3"/>
      <c r="R25">
        <v>1</v>
      </c>
      <c r="S25" s="6"/>
      <c r="T25" s="6">
        <v>1</v>
      </c>
      <c r="W25" s="5"/>
      <c r="AV25">
        <v>1</v>
      </c>
    </row>
    <row r="26" spans="4:48" x14ac:dyDescent="0.2">
      <c r="D26" s="3"/>
      <c r="I26" s="3"/>
      <c r="J26" s="3"/>
      <c r="K26" s="3"/>
      <c r="N26" s="26"/>
      <c r="O26">
        <v>1</v>
      </c>
      <c r="P26" s="3"/>
      <c r="Q26" s="3"/>
      <c r="R26">
        <v>1</v>
      </c>
      <c r="S26" s="6"/>
      <c r="T26" s="6">
        <v>1</v>
      </c>
      <c r="W26" s="5"/>
      <c r="AV26">
        <v>1</v>
      </c>
    </row>
    <row r="27" spans="4:48" x14ac:dyDescent="0.2">
      <c r="D27" s="3"/>
      <c r="I27" s="3"/>
      <c r="J27" s="3"/>
      <c r="K27" s="3"/>
      <c r="N27" s="26"/>
      <c r="O27">
        <v>1</v>
      </c>
      <c r="P27" s="3"/>
      <c r="Q27" s="3"/>
      <c r="R27">
        <v>1</v>
      </c>
      <c r="S27" s="6"/>
      <c r="T27" s="6">
        <v>1</v>
      </c>
      <c r="W27" s="5"/>
      <c r="AV27">
        <v>1</v>
      </c>
    </row>
    <row r="28" spans="4:48" x14ac:dyDescent="0.2">
      <c r="D28" s="3"/>
      <c r="I28" s="3"/>
      <c r="J28" s="3"/>
      <c r="K28" s="3"/>
      <c r="N28" s="26"/>
      <c r="O28">
        <v>1</v>
      </c>
      <c r="P28" s="3"/>
      <c r="Q28" s="3"/>
      <c r="R28">
        <v>1</v>
      </c>
      <c r="S28" s="6"/>
      <c r="T28" s="6">
        <v>1</v>
      </c>
      <c r="W28" s="5"/>
      <c r="AV28">
        <v>1</v>
      </c>
    </row>
    <row r="29" spans="4:48" x14ac:dyDescent="0.2">
      <c r="D29" s="3"/>
      <c r="I29" s="3"/>
      <c r="J29" s="3"/>
      <c r="K29" s="3"/>
      <c r="N29" s="26"/>
      <c r="O29">
        <v>1</v>
      </c>
      <c r="P29" s="3"/>
      <c r="Q29" s="3"/>
      <c r="R29">
        <v>1</v>
      </c>
      <c r="S29" s="6"/>
      <c r="T29" s="6">
        <v>1</v>
      </c>
      <c r="W29" s="5"/>
      <c r="AV29">
        <v>0.95</v>
      </c>
    </row>
    <row r="30" spans="4:48" x14ac:dyDescent="0.2">
      <c r="D30" s="3"/>
      <c r="I30" s="3"/>
      <c r="J30" s="3"/>
      <c r="K30" s="3"/>
      <c r="N30" s="26"/>
      <c r="O30">
        <v>1</v>
      </c>
      <c r="P30" s="3"/>
      <c r="Q30" s="3"/>
      <c r="R30">
        <v>1</v>
      </c>
      <c r="S30" s="6"/>
      <c r="T30" s="6">
        <v>1</v>
      </c>
      <c r="W30" s="5"/>
      <c r="AV30">
        <v>1</v>
      </c>
    </row>
    <row r="31" spans="4:48" x14ac:dyDescent="0.2">
      <c r="D31" s="3"/>
      <c r="I31" s="3"/>
      <c r="J31" s="3"/>
      <c r="K31" s="3"/>
      <c r="N31" s="26"/>
      <c r="O31">
        <v>1</v>
      </c>
      <c r="P31" s="3"/>
      <c r="Q31" s="3"/>
      <c r="R31">
        <v>1</v>
      </c>
      <c r="S31" s="6"/>
      <c r="T31" s="6">
        <v>1</v>
      </c>
      <c r="W31" s="5"/>
      <c r="AV31">
        <v>1</v>
      </c>
    </row>
    <row r="32" spans="4:48" x14ac:dyDescent="0.2">
      <c r="D32" s="3"/>
      <c r="I32" s="3"/>
      <c r="J32" s="3"/>
      <c r="K32" s="3"/>
      <c r="N32" s="26"/>
      <c r="O32">
        <v>1</v>
      </c>
      <c r="P32" s="3"/>
      <c r="Q32" s="3"/>
      <c r="R32">
        <v>1</v>
      </c>
      <c r="S32" s="6"/>
      <c r="T32" s="6">
        <v>1</v>
      </c>
      <c r="W32" s="5"/>
      <c r="AV32">
        <v>1</v>
      </c>
    </row>
    <row r="33" spans="4:48" x14ac:dyDescent="0.2">
      <c r="D33" s="3"/>
      <c r="I33" s="3"/>
      <c r="J33" s="3"/>
      <c r="K33" s="3"/>
      <c r="N33" s="26"/>
      <c r="O33">
        <v>1</v>
      </c>
      <c r="P33" s="3"/>
      <c r="Q33" s="3"/>
      <c r="R33">
        <v>1</v>
      </c>
      <c r="S33" s="6"/>
      <c r="T33" s="6">
        <v>1</v>
      </c>
      <c r="W33" s="5"/>
      <c r="AV33">
        <v>1</v>
      </c>
    </row>
    <row r="34" spans="4:48" x14ac:dyDescent="0.2">
      <c r="D34" s="3"/>
      <c r="I34" s="3"/>
      <c r="J34" s="3"/>
      <c r="K34" s="3"/>
      <c r="N34" s="26"/>
      <c r="O34">
        <v>1</v>
      </c>
      <c r="P34" s="3"/>
      <c r="Q34" s="3"/>
      <c r="R34">
        <v>1</v>
      </c>
      <c r="S34" s="6"/>
      <c r="T34" s="6">
        <v>0.3</v>
      </c>
      <c r="W34" s="5"/>
      <c r="AV34">
        <v>1</v>
      </c>
    </row>
    <row r="35" spans="4:48" x14ac:dyDescent="0.2">
      <c r="D35" s="3"/>
      <c r="I35" s="3"/>
      <c r="J35" s="3"/>
      <c r="K35" s="3"/>
      <c r="N35" s="26"/>
      <c r="O35">
        <v>1</v>
      </c>
      <c r="P35" s="3"/>
      <c r="Q35" s="3"/>
      <c r="R35">
        <v>1</v>
      </c>
      <c r="S35" s="6"/>
      <c r="T35" s="6">
        <v>1</v>
      </c>
      <c r="W35" s="5"/>
      <c r="AV35">
        <v>1</v>
      </c>
    </row>
    <row r="36" spans="4:48" x14ac:dyDescent="0.2">
      <c r="D36" s="3"/>
      <c r="I36" s="3"/>
      <c r="J36" s="3"/>
      <c r="K36" s="3"/>
      <c r="N36" s="26"/>
      <c r="O36">
        <v>1</v>
      </c>
      <c r="P36" s="3"/>
      <c r="Q36" s="3"/>
      <c r="R36">
        <v>0.95</v>
      </c>
      <c r="S36" s="6"/>
      <c r="T36" s="6">
        <v>0.7</v>
      </c>
      <c r="W36" s="5"/>
      <c r="AV36">
        <v>1</v>
      </c>
    </row>
    <row r="37" spans="4:48" x14ac:dyDescent="0.2">
      <c r="D37" s="3"/>
      <c r="I37" s="3"/>
      <c r="J37" s="3"/>
      <c r="K37" s="3"/>
      <c r="N37" s="26"/>
      <c r="O37">
        <v>0.8</v>
      </c>
      <c r="P37" s="3"/>
      <c r="Q37" s="3"/>
      <c r="R37">
        <v>0.2</v>
      </c>
      <c r="S37" s="6"/>
      <c r="T37" s="6">
        <v>0.3</v>
      </c>
      <c r="W37" s="5"/>
      <c r="AV37">
        <v>1</v>
      </c>
    </row>
    <row r="38" spans="4:48" x14ac:dyDescent="0.2">
      <c r="D38" s="3"/>
      <c r="I38" s="3"/>
      <c r="J38" s="3"/>
      <c r="K38" s="3"/>
      <c r="N38" s="26"/>
      <c r="O38">
        <v>0.2</v>
      </c>
      <c r="P38" s="3"/>
      <c r="Q38" s="3"/>
      <c r="R38">
        <v>1</v>
      </c>
      <c r="S38" s="6"/>
      <c r="T38" s="6">
        <v>1</v>
      </c>
      <c r="W38" s="5"/>
      <c r="AV38">
        <v>1</v>
      </c>
    </row>
    <row r="39" spans="4:48" x14ac:dyDescent="0.2">
      <c r="D39" s="3"/>
      <c r="I39" s="3"/>
      <c r="J39" s="3"/>
      <c r="K39" s="3"/>
      <c r="N39" s="26"/>
      <c r="O39">
        <v>1</v>
      </c>
      <c r="P39" s="3"/>
      <c r="Q39" s="3"/>
      <c r="R39">
        <v>1</v>
      </c>
      <c r="S39" s="6"/>
      <c r="T39" s="6">
        <v>1</v>
      </c>
      <c r="W39" s="5"/>
      <c r="AV39">
        <v>1</v>
      </c>
    </row>
    <row r="40" spans="4:48" x14ac:dyDescent="0.2">
      <c r="D40" s="3"/>
      <c r="I40" s="3"/>
      <c r="J40" s="3"/>
      <c r="K40" s="3"/>
      <c r="N40" s="26"/>
      <c r="O40">
        <v>1</v>
      </c>
      <c r="P40" s="3"/>
      <c r="Q40" s="3"/>
      <c r="R40">
        <v>1</v>
      </c>
      <c r="S40" s="6"/>
      <c r="T40" s="6">
        <v>1</v>
      </c>
      <c r="W40" s="5"/>
      <c r="AV40">
        <v>1</v>
      </c>
    </row>
    <row r="41" spans="4:48" x14ac:dyDescent="0.2">
      <c r="D41" s="3"/>
      <c r="I41" s="3"/>
      <c r="J41" s="3"/>
      <c r="K41" s="3"/>
      <c r="N41" s="26"/>
      <c r="O41">
        <v>1</v>
      </c>
      <c r="P41" s="3"/>
      <c r="Q41" s="3"/>
      <c r="R41">
        <v>1</v>
      </c>
      <c r="S41" s="6"/>
      <c r="T41" s="6">
        <v>1</v>
      </c>
      <c r="W41" s="5"/>
      <c r="AV41">
        <v>1</v>
      </c>
    </row>
    <row r="42" spans="4:48" x14ac:dyDescent="0.2">
      <c r="D42" s="3"/>
      <c r="I42" s="3"/>
      <c r="J42" s="3"/>
      <c r="K42" s="3"/>
      <c r="N42" s="26"/>
      <c r="O42">
        <v>1</v>
      </c>
      <c r="P42" s="3"/>
      <c r="Q42" s="3"/>
      <c r="R42">
        <v>1</v>
      </c>
      <c r="S42" s="6"/>
      <c r="T42" s="6">
        <v>1</v>
      </c>
      <c r="W42" s="5"/>
      <c r="AV42">
        <v>1</v>
      </c>
    </row>
    <row r="43" spans="4:48" x14ac:dyDescent="0.2">
      <c r="D43" s="3"/>
      <c r="I43" s="3"/>
      <c r="J43" s="3"/>
      <c r="K43" s="3"/>
      <c r="N43" s="26"/>
      <c r="O43">
        <v>1</v>
      </c>
      <c r="P43" s="3"/>
      <c r="Q43" s="3"/>
      <c r="R43">
        <v>1</v>
      </c>
      <c r="S43" s="6"/>
      <c r="T43" s="6">
        <v>1</v>
      </c>
      <c r="W43" s="5"/>
      <c r="AV43">
        <v>1</v>
      </c>
    </row>
    <row r="44" spans="4:48" x14ac:dyDescent="0.2">
      <c r="D44" s="3"/>
      <c r="I44" s="3"/>
      <c r="J44" s="3"/>
      <c r="K44" s="3"/>
      <c r="N44" s="26"/>
      <c r="O44">
        <v>1</v>
      </c>
      <c r="P44" s="3"/>
      <c r="Q44" s="3"/>
      <c r="R44">
        <v>1</v>
      </c>
      <c r="S44" s="6"/>
      <c r="T44" s="6">
        <v>1</v>
      </c>
      <c r="W44" s="5"/>
      <c r="AV44">
        <v>1</v>
      </c>
    </row>
    <row r="45" spans="4:48" x14ac:dyDescent="0.2">
      <c r="D45" s="3"/>
      <c r="I45" s="3"/>
      <c r="J45" s="3"/>
      <c r="K45" s="3"/>
      <c r="N45" s="16"/>
      <c r="O45">
        <v>1</v>
      </c>
      <c r="P45" s="3"/>
      <c r="Q45" s="3"/>
      <c r="R45">
        <v>1</v>
      </c>
      <c r="S45" s="6"/>
      <c r="T45" s="6">
        <v>1</v>
      </c>
      <c r="W45" s="5"/>
      <c r="AV45">
        <v>1</v>
      </c>
    </row>
    <row r="46" spans="4:48" x14ac:dyDescent="0.2">
      <c r="D46" s="3"/>
      <c r="I46" s="3"/>
      <c r="J46" s="3"/>
      <c r="K46" s="3"/>
      <c r="O46">
        <v>1</v>
      </c>
      <c r="P46" s="3"/>
      <c r="Q46" s="3"/>
      <c r="R46">
        <v>1</v>
      </c>
      <c r="S46" s="6"/>
      <c r="T46" s="6">
        <v>1</v>
      </c>
      <c r="W46" s="5"/>
      <c r="AV46">
        <v>1</v>
      </c>
    </row>
    <row r="47" spans="4:48" x14ac:dyDescent="0.2">
      <c r="D47" s="3"/>
      <c r="I47" s="3"/>
      <c r="J47" s="3"/>
      <c r="K47" s="3"/>
      <c r="O47">
        <v>1</v>
      </c>
      <c r="P47" s="3"/>
      <c r="Q47" s="3"/>
      <c r="R47">
        <v>1</v>
      </c>
      <c r="S47" s="6"/>
      <c r="T47" s="6">
        <v>1</v>
      </c>
      <c r="W47" s="5"/>
      <c r="AV47">
        <v>0.7</v>
      </c>
    </row>
    <row r="48" spans="4:48" x14ac:dyDescent="0.2">
      <c r="D48" s="3"/>
      <c r="I48" s="3"/>
      <c r="J48" s="3"/>
      <c r="K48" s="3"/>
      <c r="O48">
        <v>1</v>
      </c>
      <c r="P48" s="3"/>
      <c r="Q48" s="3"/>
      <c r="R48">
        <v>1</v>
      </c>
      <c r="S48" s="6"/>
      <c r="T48" s="6">
        <v>0.1</v>
      </c>
      <c r="W48" s="5"/>
      <c r="AV48">
        <v>1</v>
      </c>
    </row>
    <row r="49" spans="1:48" x14ac:dyDescent="0.2">
      <c r="D49" s="3"/>
      <c r="I49" s="3"/>
      <c r="J49" s="3"/>
      <c r="K49" s="3"/>
      <c r="O49">
        <v>0.5</v>
      </c>
      <c r="P49" s="3"/>
      <c r="Q49" s="3"/>
      <c r="R49" s="3">
        <v>0.5</v>
      </c>
      <c r="S49" s="6"/>
      <c r="T49" s="6">
        <v>0.1</v>
      </c>
      <c r="W49" s="5"/>
      <c r="AV49">
        <v>0.85</v>
      </c>
    </row>
    <row r="50" spans="1:48" x14ac:dyDescent="0.2">
      <c r="A50" s="25" t="s">
        <v>111</v>
      </c>
      <c r="B50" s="25"/>
      <c r="C50" s="25"/>
      <c r="D50">
        <f>AVERAGE(D6:D17)</f>
        <v>0.88310909090909095</v>
      </c>
      <c r="I50">
        <f>AVERAGE(I7:I17)</f>
        <v>0.93909090909090909</v>
      </c>
      <c r="N50" s="27">
        <f t="shared" ref="N50:R50" si="0">AVERAGE(N7:N49)</f>
        <v>0.44857142857142857</v>
      </c>
      <c r="O50" s="27">
        <f t="shared" si="0"/>
        <v>0.8046511627906977</v>
      </c>
      <c r="P50">
        <f t="shared" si="0"/>
        <v>0.10090909090909089</v>
      </c>
      <c r="Q50" s="28">
        <f t="shared" si="0"/>
        <v>0.71499999999999997</v>
      </c>
      <c r="R50" s="28">
        <f t="shared" si="0"/>
        <v>0.79116279069767437</v>
      </c>
      <c r="S50" s="9">
        <f>AVERAGE(S7:S49)</f>
        <v>0.83357142857142841</v>
      </c>
      <c r="T50" s="9">
        <f>AVERAGE(T7:T49)</f>
        <v>0.6804651162790698</v>
      </c>
      <c r="W50">
        <f>AVERAGE(W7:W17)</f>
        <v>0.52128181818181829</v>
      </c>
      <c r="Z50">
        <f>AVERAGE(Z7:Z17)</f>
        <v>1</v>
      </c>
      <c r="AC50">
        <f>AVERAGE(AC7:AC49)</f>
        <v>0.7819272727272728</v>
      </c>
      <c r="AF50">
        <f>AVERAGE(AF11:AF49)</f>
        <v>0.95237142857142854</v>
      </c>
      <c r="AI50">
        <f>AVERAGE(AI7:AI49)</f>
        <v>5.504545454545455E-2</v>
      </c>
      <c r="AL50">
        <f>AVERAGE(AL7:AL49)</f>
        <v>0.8062818181818181</v>
      </c>
      <c r="AN50">
        <f>AVERAGE(AN7:AN49)</f>
        <v>0.83581818181818168</v>
      </c>
      <c r="AU50">
        <f>AVERAGE(AU6:AU49)</f>
        <v>0.97333333333333327</v>
      </c>
      <c r="AV50">
        <f>AVERAGE(AV6:AV49)</f>
        <v>0.95000000000000007</v>
      </c>
    </row>
    <row r="53" spans="1:48" x14ac:dyDescent="0.2">
      <c r="R53" t="s">
        <v>207</v>
      </c>
    </row>
    <row r="57" spans="1:48" x14ac:dyDescent="0.2">
      <c r="A57" t="s">
        <v>164</v>
      </c>
    </row>
    <row r="58" spans="1:48" x14ac:dyDescent="0.2">
      <c r="A58" t="s">
        <v>165</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E517-858F-4C45-B21F-8DF063ED19D7}">
  <dimension ref="A1:U152"/>
  <sheetViews>
    <sheetView zoomScaleNormal="100" workbookViewId="0">
      <selection activeCell="K10" sqref="K10"/>
    </sheetView>
  </sheetViews>
  <sheetFormatPr baseColWidth="10" defaultRowHeight="16" x14ac:dyDescent="0.2"/>
  <sheetData>
    <row r="1" spans="1:15" x14ac:dyDescent="0.2">
      <c r="A1" t="s">
        <v>68</v>
      </c>
    </row>
    <row r="2" spans="1:15" x14ac:dyDescent="0.2">
      <c r="A2" t="s">
        <v>47</v>
      </c>
      <c r="B2">
        <v>16</v>
      </c>
      <c r="D2" t="s">
        <v>49</v>
      </c>
    </row>
    <row r="3" spans="1:15" x14ac:dyDescent="0.2">
      <c r="A3" t="s">
        <v>43</v>
      </c>
      <c r="B3">
        <v>11</v>
      </c>
    </row>
    <row r="4" spans="1:15" x14ac:dyDescent="0.2">
      <c r="A4" t="s">
        <v>77</v>
      </c>
      <c r="B4">
        <v>11</v>
      </c>
    </row>
    <row r="5" spans="1:15" x14ac:dyDescent="0.2">
      <c r="A5" t="s">
        <v>48</v>
      </c>
      <c r="B5">
        <v>10</v>
      </c>
      <c r="K5" t="s">
        <v>56</v>
      </c>
    </row>
    <row r="6" spans="1:15" x14ac:dyDescent="0.2">
      <c r="B6">
        <f>SUM(B2:B5)</f>
        <v>48</v>
      </c>
      <c r="K6" t="s">
        <v>55</v>
      </c>
    </row>
    <row r="7" spans="1:15" x14ac:dyDescent="0.2">
      <c r="F7" t="s">
        <v>62</v>
      </c>
      <c r="K7" s="7" t="s">
        <v>57</v>
      </c>
    </row>
    <row r="8" spans="1:15" x14ac:dyDescent="0.2">
      <c r="A8" t="s">
        <v>45</v>
      </c>
      <c r="B8" t="s">
        <v>50</v>
      </c>
      <c r="C8" t="s">
        <v>171</v>
      </c>
      <c r="D8" t="s">
        <v>53</v>
      </c>
      <c r="F8" s="9" t="s">
        <v>63</v>
      </c>
      <c r="K8" s="9" t="s">
        <v>58</v>
      </c>
    </row>
    <row r="10" spans="1:15" x14ac:dyDescent="0.2">
      <c r="A10" s="2" t="s">
        <v>171</v>
      </c>
      <c r="B10" t="s">
        <v>60</v>
      </c>
      <c r="F10" s="2" t="s">
        <v>50</v>
      </c>
      <c r="G10" t="s">
        <v>61</v>
      </c>
      <c r="K10" s="2" t="s">
        <v>53</v>
      </c>
      <c r="L10" t="s">
        <v>59</v>
      </c>
    </row>
    <row r="12" spans="1:15" x14ac:dyDescent="0.2">
      <c r="A12" s="2" t="s">
        <v>44</v>
      </c>
      <c r="B12" s="2" t="s">
        <v>51</v>
      </c>
      <c r="C12" s="2" t="s">
        <v>52</v>
      </c>
      <c r="D12" s="2" t="s">
        <v>46</v>
      </c>
      <c r="E12" s="2" t="s">
        <v>64</v>
      </c>
      <c r="F12" s="2" t="s">
        <v>44</v>
      </c>
      <c r="G12" s="2" t="s">
        <v>51</v>
      </c>
      <c r="H12" s="2" t="s">
        <v>52</v>
      </c>
      <c r="I12" s="2" t="s">
        <v>46</v>
      </c>
      <c r="J12" s="2" t="s">
        <v>64</v>
      </c>
      <c r="K12" s="2" t="s">
        <v>44</v>
      </c>
      <c r="L12" s="2" t="s">
        <v>51</v>
      </c>
      <c r="M12" s="2" t="s">
        <v>52</v>
      </c>
      <c r="N12" s="2" t="s">
        <v>46</v>
      </c>
      <c r="O12" s="2" t="s">
        <v>64</v>
      </c>
    </row>
    <row r="13" spans="1:15" x14ac:dyDescent="0.2">
      <c r="A13" s="3" t="s">
        <v>47</v>
      </c>
      <c r="F13" s="3" t="s">
        <v>47</v>
      </c>
      <c r="K13" s="3" t="s">
        <v>47</v>
      </c>
    </row>
    <row r="14" spans="1:15" x14ac:dyDescent="0.2">
      <c r="B14">
        <v>1</v>
      </c>
      <c r="C14">
        <v>1</v>
      </c>
      <c r="D14" s="5">
        <v>0.98578589399999905</v>
      </c>
      <c r="E14">
        <f>(C14-D14)/C14</f>
        <v>1.4214106000000948E-2</v>
      </c>
      <c r="G14">
        <v>1</v>
      </c>
      <c r="H14">
        <v>1</v>
      </c>
      <c r="I14">
        <v>1</v>
      </c>
      <c r="J14">
        <f>(H14-I14)/H14</f>
        <v>0</v>
      </c>
      <c r="L14">
        <v>0.6</v>
      </c>
      <c r="M14">
        <v>0.6</v>
      </c>
      <c r="N14" s="5">
        <v>0.75012683800000002</v>
      </c>
      <c r="O14">
        <f>(M14-N14)/M14</f>
        <v>-0.25021139666666675</v>
      </c>
    </row>
    <row r="15" spans="1:15" x14ac:dyDescent="0.2">
      <c r="B15">
        <v>0.95</v>
      </c>
      <c r="C15">
        <v>0.95</v>
      </c>
      <c r="D15" s="5">
        <v>0.88045571953011403</v>
      </c>
      <c r="E15">
        <f t="shared" ref="E15:E29" si="0">(C15-D15)/C15</f>
        <v>7.3204505757774652E-2</v>
      </c>
      <c r="G15">
        <v>1</v>
      </c>
      <c r="H15">
        <v>1</v>
      </c>
      <c r="I15" s="5">
        <v>0.93485990900000004</v>
      </c>
      <c r="J15">
        <f t="shared" ref="J15:J29" si="1">(H15-I15)/H15</f>
        <v>6.5140090999999956E-2</v>
      </c>
      <c r="L15" s="7">
        <v>0</v>
      </c>
      <c r="M15" s="7">
        <v>1</v>
      </c>
      <c r="N15" s="8">
        <v>0.42546463854032202</v>
      </c>
      <c r="O15">
        <f t="shared" ref="O15:O29" si="2">(M15-N15)/M15</f>
        <v>0.57453536145967798</v>
      </c>
    </row>
    <row r="16" spans="1:15" x14ac:dyDescent="0.2">
      <c r="B16">
        <v>1</v>
      </c>
      <c r="C16">
        <v>1</v>
      </c>
      <c r="D16" s="5">
        <v>0.91708485399999995</v>
      </c>
      <c r="E16">
        <f t="shared" si="0"/>
        <v>8.2915146000000051E-2</v>
      </c>
      <c r="G16">
        <v>1</v>
      </c>
      <c r="H16">
        <v>1</v>
      </c>
      <c r="I16" s="5">
        <v>0.95681229300000004</v>
      </c>
      <c r="J16">
        <f t="shared" si="1"/>
        <v>4.3187706999999964E-2</v>
      </c>
      <c r="L16" s="9">
        <v>0.9</v>
      </c>
      <c r="M16" s="9">
        <v>0.9</v>
      </c>
      <c r="N16" s="10">
        <v>0.50025367600000004</v>
      </c>
      <c r="O16">
        <f t="shared" si="2"/>
        <v>0.44416258222222221</v>
      </c>
    </row>
    <row r="17" spans="2:15" x14ac:dyDescent="0.2">
      <c r="B17" s="5">
        <v>0.95</v>
      </c>
      <c r="C17" s="5">
        <v>0.95</v>
      </c>
      <c r="D17" s="5">
        <v>0.86202424079632101</v>
      </c>
      <c r="E17">
        <f t="shared" si="0"/>
        <v>9.260606231966205E-2</v>
      </c>
      <c r="G17" s="9">
        <v>0</v>
      </c>
      <c r="H17" s="9">
        <v>1</v>
      </c>
      <c r="I17" s="10">
        <v>0.92555418171428505</v>
      </c>
      <c r="J17">
        <f t="shared" si="1"/>
        <v>7.4445818285714949E-2</v>
      </c>
      <c r="L17" s="7">
        <v>0</v>
      </c>
      <c r="M17" s="7">
        <v>1</v>
      </c>
      <c r="N17" s="8">
        <v>0.42546463854032202</v>
      </c>
      <c r="O17">
        <f t="shared" si="2"/>
        <v>0.57453536145967798</v>
      </c>
    </row>
    <row r="18" spans="2:15" x14ac:dyDescent="0.2">
      <c r="B18">
        <v>1</v>
      </c>
      <c r="C18">
        <v>1</v>
      </c>
      <c r="D18" s="11">
        <v>0.886059476647585</v>
      </c>
      <c r="E18">
        <f t="shared" si="0"/>
        <v>0.113940523352415</v>
      </c>
      <c r="G18">
        <v>1</v>
      </c>
      <c r="H18">
        <v>1</v>
      </c>
      <c r="I18" s="5">
        <v>0.94034800500000004</v>
      </c>
      <c r="J18">
        <f t="shared" si="1"/>
        <v>5.9651994999999958E-2</v>
      </c>
      <c r="L18" s="7">
        <v>0</v>
      </c>
      <c r="M18" s="7">
        <v>1</v>
      </c>
      <c r="N18" s="8">
        <v>0.42546463854032202</v>
      </c>
      <c r="O18">
        <f t="shared" si="2"/>
        <v>0.57453536145967798</v>
      </c>
    </row>
    <row r="19" spans="2:15" x14ac:dyDescent="0.2">
      <c r="B19">
        <v>0.85</v>
      </c>
      <c r="C19">
        <v>0.85</v>
      </c>
      <c r="D19" s="11">
        <v>0.862111017896244</v>
      </c>
      <c r="E19">
        <f t="shared" si="0"/>
        <v>-1.4248256348522384E-2</v>
      </c>
      <c r="G19" s="9">
        <v>0</v>
      </c>
      <c r="H19" s="9">
        <v>1</v>
      </c>
      <c r="I19" s="10">
        <v>0.92555418171428505</v>
      </c>
      <c r="J19">
        <f t="shared" si="1"/>
        <v>7.4445818285714949E-2</v>
      </c>
      <c r="L19" s="7">
        <v>0</v>
      </c>
      <c r="M19" s="7">
        <v>1</v>
      </c>
      <c r="N19" s="8">
        <v>0.42546463854032202</v>
      </c>
      <c r="O19">
        <f t="shared" si="2"/>
        <v>0.57453536145967798</v>
      </c>
    </row>
    <row r="20" spans="2:15" x14ac:dyDescent="0.2">
      <c r="B20">
        <v>1</v>
      </c>
      <c r="C20">
        <v>1</v>
      </c>
      <c r="D20" s="11">
        <v>0.87927121069678105</v>
      </c>
      <c r="E20">
        <f t="shared" si="0"/>
        <v>0.12072878930321895</v>
      </c>
      <c r="G20">
        <v>1</v>
      </c>
      <c r="H20">
        <v>1</v>
      </c>
      <c r="I20" s="5">
        <v>0.93485990900000004</v>
      </c>
      <c r="J20">
        <f t="shared" si="1"/>
        <v>6.5140090999999956E-2</v>
      </c>
      <c r="L20" s="7">
        <v>0</v>
      </c>
      <c r="M20" s="7">
        <v>1</v>
      </c>
      <c r="N20" s="8">
        <v>0.42546463854032202</v>
      </c>
      <c r="O20">
        <f t="shared" si="2"/>
        <v>0.57453536145967798</v>
      </c>
    </row>
    <row r="21" spans="2:15" x14ac:dyDescent="0.2">
      <c r="B21">
        <v>1</v>
      </c>
      <c r="C21">
        <v>1</v>
      </c>
      <c r="D21" s="11">
        <v>0.86551268447137797</v>
      </c>
      <c r="E21">
        <f t="shared" si="0"/>
        <v>0.13448731552862203</v>
      </c>
      <c r="G21" s="9">
        <v>0.05</v>
      </c>
      <c r="H21" s="9">
        <v>0.95</v>
      </c>
      <c r="I21" s="10">
        <v>0.93485990900000004</v>
      </c>
      <c r="J21">
        <f t="shared" si="1"/>
        <v>1.5936937894736748E-2</v>
      </c>
      <c r="L21" s="7">
        <v>0</v>
      </c>
      <c r="M21" s="7">
        <v>1</v>
      </c>
      <c r="N21" s="8">
        <v>0.42546463854032202</v>
      </c>
      <c r="O21">
        <f t="shared" si="2"/>
        <v>0.57453536145967798</v>
      </c>
    </row>
    <row r="22" spans="2:15" x14ac:dyDescent="0.2">
      <c r="B22">
        <v>1</v>
      </c>
      <c r="C22">
        <v>1</v>
      </c>
      <c r="D22" s="11">
        <v>0.93524716533333296</v>
      </c>
      <c r="E22">
        <f t="shared" si="0"/>
        <v>6.4752834666667036E-2</v>
      </c>
      <c r="G22">
        <v>1</v>
      </c>
      <c r="H22">
        <v>1</v>
      </c>
      <c r="I22" s="5">
        <v>0.97120819533333302</v>
      </c>
      <c r="J22">
        <f t="shared" si="1"/>
        <v>2.8791804666666976E-2</v>
      </c>
      <c r="L22">
        <v>0.9</v>
      </c>
      <c r="M22">
        <v>0.9</v>
      </c>
      <c r="N22" s="5">
        <v>0.61453857266666601</v>
      </c>
      <c r="O22">
        <f t="shared" si="2"/>
        <v>0.31717936370370448</v>
      </c>
    </row>
    <row r="23" spans="2:15" x14ac:dyDescent="0.2">
      <c r="B23">
        <v>1</v>
      </c>
      <c r="C23">
        <v>1</v>
      </c>
      <c r="D23" s="11">
        <v>0.89424477613118702</v>
      </c>
      <c r="E23">
        <f t="shared" si="0"/>
        <v>0.10575522386881298</v>
      </c>
      <c r="G23">
        <v>1</v>
      </c>
      <c r="H23">
        <v>1</v>
      </c>
      <c r="I23" s="5">
        <v>0.94217737033333304</v>
      </c>
      <c r="J23">
        <f t="shared" si="1"/>
        <v>5.7822629666666958E-2</v>
      </c>
      <c r="L23" s="7">
        <v>0</v>
      </c>
      <c r="M23" s="7">
        <v>1</v>
      </c>
      <c r="N23" s="8">
        <v>0.42546463854032202</v>
      </c>
      <c r="O23">
        <f t="shared" si="2"/>
        <v>0.57453536145967798</v>
      </c>
    </row>
    <row r="24" spans="2:15" x14ac:dyDescent="0.2">
      <c r="B24">
        <v>1</v>
      </c>
      <c r="C24">
        <v>1</v>
      </c>
      <c r="D24" s="11">
        <v>0.94472323599999997</v>
      </c>
      <c r="E24">
        <f t="shared" si="0"/>
        <v>5.5276764000000034E-2</v>
      </c>
      <c r="G24">
        <v>1</v>
      </c>
      <c r="H24">
        <v>1</v>
      </c>
      <c r="I24" s="5">
        <v>0.97120819533333302</v>
      </c>
      <c r="J24">
        <f t="shared" si="1"/>
        <v>2.8791804666666976E-2</v>
      </c>
      <c r="L24" s="9">
        <v>1</v>
      </c>
      <c r="M24" s="9">
        <v>1</v>
      </c>
      <c r="N24" s="10">
        <v>0.78112068066666596</v>
      </c>
      <c r="O24">
        <f t="shared" si="2"/>
        <v>0.21887931933333404</v>
      </c>
    </row>
    <row r="25" spans="2:15" x14ac:dyDescent="0.2">
      <c r="B25" s="5">
        <v>0.952380952380952</v>
      </c>
      <c r="C25" s="5">
        <v>0.952380952380952</v>
      </c>
      <c r="D25" s="11">
        <v>0.93524716533333296</v>
      </c>
      <c r="E25">
        <f t="shared" si="0"/>
        <v>1.799047639999999E-2</v>
      </c>
      <c r="G25">
        <v>1</v>
      </c>
      <c r="H25">
        <v>1</v>
      </c>
      <c r="I25" s="5">
        <v>0.97120819533333302</v>
      </c>
      <c r="J25">
        <f t="shared" si="1"/>
        <v>2.8791804666666976E-2</v>
      </c>
      <c r="L25">
        <v>0.5</v>
      </c>
      <c r="M25">
        <v>0.5</v>
      </c>
      <c r="N25" s="5">
        <v>0.61453857266666601</v>
      </c>
      <c r="O25">
        <f t="shared" si="2"/>
        <v>-0.22907714533333201</v>
      </c>
    </row>
    <row r="26" spans="2:15" x14ac:dyDescent="0.2">
      <c r="B26">
        <v>1</v>
      </c>
      <c r="C26">
        <v>1</v>
      </c>
      <c r="D26" s="11">
        <v>0.91708485399999995</v>
      </c>
      <c r="E26">
        <f t="shared" si="0"/>
        <v>8.2915146000000051E-2</v>
      </c>
      <c r="G26" s="9">
        <v>0.1</v>
      </c>
      <c r="H26" s="9">
        <v>0.9</v>
      </c>
      <c r="I26" s="10">
        <v>0.95681229300000004</v>
      </c>
      <c r="J26">
        <f t="shared" si="1"/>
        <v>-6.3124770000000011E-2</v>
      </c>
      <c r="L26" s="9">
        <v>1</v>
      </c>
      <c r="M26" s="9">
        <v>1</v>
      </c>
      <c r="N26" s="10">
        <v>0.67168102100000004</v>
      </c>
      <c r="O26">
        <f t="shared" si="2"/>
        <v>0.32831897899999996</v>
      </c>
    </row>
    <row r="27" spans="2:15" x14ac:dyDescent="0.2">
      <c r="B27">
        <v>1</v>
      </c>
      <c r="C27">
        <v>1</v>
      </c>
      <c r="D27" s="11">
        <v>0.951435373999999</v>
      </c>
      <c r="E27">
        <f t="shared" si="0"/>
        <v>4.8564626000000999E-2</v>
      </c>
      <c r="F27" t="s">
        <v>54</v>
      </c>
      <c r="G27">
        <v>0.8</v>
      </c>
      <c r="H27">
        <v>0.8</v>
      </c>
      <c r="I27" s="5">
        <v>0.97840614650000002</v>
      </c>
      <c r="J27">
        <f t="shared" si="1"/>
        <v>-0.22300768312499997</v>
      </c>
      <c r="L27" s="9">
        <v>0.95</v>
      </c>
      <c r="M27" s="9">
        <v>0.95</v>
      </c>
      <c r="N27" s="10">
        <v>0.71090392950000003</v>
      </c>
      <c r="O27">
        <f t="shared" si="2"/>
        <v>0.25168007421052624</v>
      </c>
    </row>
    <row r="28" spans="2:15" x14ac:dyDescent="0.2">
      <c r="B28">
        <v>0.95</v>
      </c>
      <c r="C28">
        <v>0.95</v>
      </c>
      <c r="D28" s="11">
        <v>0.93129896000000001</v>
      </c>
      <c r="E28">
        <f t="shared" si="0"/>
        <v>1.9685305263157839E-2</v>
      </c>
      <c r="G28">
        <v>1</v>
      </c>
      <c r="H28">
        <v>1</v>
      </c>
      <c r="I28" s="5">
        <v>0.95681229300000004</v>
      </c>
      <c r="J28">
        <f t="shared" si="1"/>
        <v>4.3187706999999964E-2</v>
      </c>
      <c r="L28">
        <v>1</v>
      </c>
      <c r="M28">
        <v>1</v>
      </c>
      <c r="N28" s="5">
        <v>0.92155418300000003</v>
      </c>
      <c r="O28">
        <f t="shared" si="2"/>
        <v>7.8445816999999973E-2</v>
      </c>
    </row>
    <row r="29" spans="2:15" x14ac:dyDescent="0.2">
      <c r="B29">
        <v>0.9</v>
      </c>
      <c r="C29">
        <v>0.9</v>
      </c>
      <c r="D29" s="11">
        <v>0.87856050539678099</v>
      </c>
      <c r="E29">
        <f t="shared" si="0"/>
        <v>2.3821660670243369E-2</v>
      </c>
      <c r="G29" s="9">
        <v>0.15</v>
      </c>
      <c r="H29" s="9">
        <v>0.85</v>
      </c>
      <c r="I29" s="10">
        <v>0.94416563628571404</v>
      </c>
      <c r="J29">
        <f t="shared" si="1"/>
        <v>-0.11078310151260479</v>
      </c>
      <c r="L29" s="7">
        <v>0</v>
      </c>
      <c r="M29" s="7">
        <v>1</v>
      </c>
      <c r="N29" s="8">
        <v>0.42546463854032202</v>
      </c>
      <c r="O29">
        <f t="shared" si="2"/>
        <v>0.57453536145967798</v>
      </c>
    </row>
    <row r="30" spans="2:15" x14ac:dyDescent="0.2">
      <c r="E30" s="2">
        <f>AVERAGE(E14:E29)</f>
        <v>6.4788139298878347E-2</v>
      </c>
      <c r="J30" s="2">
        <f>AVERAGE(J14:J29)</f>
        <v>1.1776165905951846E-2</v>
      </c>
      <c r="O30" s="2">
        <f>AVERAGE(O14:O29)</f>
        <v>0.35972878032170069</v>
      </c>
    </row>
    <row r="32" spans="2:15" x14ac:dyDescent="0.2">
      <c r="I32" s="5"/>
    </row>
    <row r="33" spans="1:15" x14ac:dyDescent="0.2">
      <c r="A33" s="2" t="s">
        <v>44</v>
      </c>
      <c r="B33" s="2" t="s">
        <v>51</v>
      </c>
      <c r="C33" s="2" t="s">
        <v>52</v>
      </c>
      <c r="D33" s="2" t="s">
        <v>46</v>
      </c>
      <c r="E33" s="2" t="s">
        <v>64</v>
      </c>
      <c r="F33" s="2" t="s">
        <v>44</v>
      </c>
      <c r="G33" s="2" t="s">
        <v>51</v>
      </c>
      <c r="H33" s="2" t="s">
        <v>52</v>
      </c>
      <c r="I33" s="2" t="s">
        <v>46</v>
      </c>
      <c r="J33" s="2" t="s">
        <v>64</v>
      </c>
      <c r="K33" s="2" t="s">
        <v>44</v>
      </c>
      <c r="L33" s="2" t="s">
        <v>51</v>
      </c>
      <c r="M33" s="2" t="s">
        <v>52</v>
      </c>
      <c r="N33" s="2" t="s">
        <v>46</v>
      </c>
      <c r="O33" s="2" t="s">
        <v>64</v>
      </c>
    </row>
    <row r="34" spans="1:15" x14ac:dyDescent="0.2">
      <c r="A34" s="3" t="s">
        <v>65</v>
      </c>
      <c r="F34" s="3" t="s">
        <v>65</v>
      </c>
      <c r="K34" s="3" t="s">
        <v>65</v>
      </c>
    </row>
    <row r="35" spans="1:15" x14ac:dyDescent="0.2">
      <c r="B35">
        <v>1</v>
      </c>
      <c r="C35">
        <v>1</v>
      </c>
      <c r="D35" s="5">
        <v>0.94734965354179301</v>
      </c>
      <c r="E35">
        <f>(C35-D35)/C35</f>
        <v>5.2650346458206987E-2</v>
      </c>
      <c r="G35">
        <v>1</v>
      </c>
      <c r="H35">
        <v>1</v>
      </c>
      <c r="I35" s="5">
        <v>0.93485990900000004</v>
      </c>
      <c r="J35">
        <f>(H35-I35)/H35</f>
        <v>6.5140090999999956E-2</v>
      </c>
      <c r="L35" s="9">
        <v>0.9</v>
      </c>
      <c r="M35" s="9">
        <v>0.9</v>
      </c>
      <c r="N35" s="10">
        <v>0.47136117381048298</v>
      </c>
      <c r="O35">
        <f>(M35-N35)/M35</f>
        <v>0.47626536243279671</v>
      </c>
    </row>
    <row r="36" spans="1:15" x14ac:dyDescent="0.2">
      <c r="B36">
        <v>1</v>
      </c>
      <c r="C36">
        <v>1</v>
      </c>
      <c r="D36" s="5">
        <v>0.934557052608459</v>
      </c>
      <c r="E36">
        <f t="shared" ref="E36:E44" si="3">(C36-D36)/C36</f>
        <v>6.5442947391540995E-2</v>
      </c>
      <c r="G36">
        <v>1</v>
      </c>
      <c r="H36">
        <v>1</v>
      </c>
      <c r="I36" s="5">
        <v>0.92622236759999999</v>
      </c>
      <c r="J36">
        <f t="shared" ref="J36:J44" si="4">(H36-I36)/H36</f>
        <v>7.3777632400000015E-2</v>
      </c>
      <c r="L36" s="9">
        <v>0.9</v>
      </c>
      <c r="M36" s="9">
        <v>0.9</v>
      </c>
      <c r="N36" s="10">
        <v>0.47233022121048301</v>
      </c>
      <c r="O36">
        <f t="shared" ref="O36:O44" si="5">(M36-N36)/M36</f>
        <v>0.47518864309946335</v>
      </c>
    </row>
    <row r="37" spans="1:15" x14ac:dyDescent="0.2">
      <c r="B37">
        <v>1</v>
      </c>
      <c r="C37">
        <v>1</v>
      </c>
      <c r="D37" s="5">
        <v>0.94971867120845899</v>
      </c>
      <c r="E37">
        <f t="shared" si="3"/>
        <v>5.0281328791541013E-2</v>
      </c>
      <c r="G37">
        <v>0.9</v>
      </c>
      <c r="H37">
        <v>0.9</v>
      </c>
      <c r="I37" s="5">
        <v>0.93485990900000004</v>
      </c>
      <c r="J37">
        <f t="shared" si="4"/>
        <v>-3.8733232222222247E-2</v>
      </c>
      <c r="L37">
        <v>0.5</v>
      </c>
      <c r="M37">
        <v>0.5</v>
      </c>
      <c r="N37" s="5">
        <v>0.51300670081048305</v>
      </c>
      <c r="O37">
        <f t="shared" si="5"/>
        <v>-2.6013401620966103E-2</v>
      </c>
    </row>
    <row r="38" spans="1:15" x14ac:dyDescent="0.2">
      <c r="B38">
        <v>1</v>
      </c>
      <c r="C38">
        <v>1</v>
      </c>
      <c r="D38" s="5">
        <v>0.92480667481076595</v>
      </c>
      <c r="E38">
        <f t="shared" si="3"/>
        <v>7.519332518923405E-2</v>
      </c>
      <c r="G38">
        <v>1</v>
      </c>
      <c r="H38">
        <v>1</v>
      </c>
      <c r="I38" s="5">
        <v>0.90924211927272702</v>
      </c>
      <c r="J38">
        <f t="shared" si="4"/>
        <v>9.0757880727272977E-2</v>
      </c>
      <c r="L38" s="7">
        <v>0</v>
      </c>
      <c r="M38" s="7">
        <v>1</v>
      </c>
      <c r="N38" s="8">
        <v>0.33197834171572399</v>
      </c>
      <c r="O38">
        <f t="shared" si="5"/>
        <v>0.66802165828427595</v>
      </c>
    </row>
    <row r="39" spans="1:15" x14ac:dyDescent="0.2">
      <c r="B39">
        <v>1</v>
      </c>
      <c r="C39">
        <v>1</v>
      </c>
      <c r="D39" s="5">
        <v>0.95408929456676705</v>
      </c>
      <c r="E39">
        <f t="shared" si="3"/>
        <v>4.5910705433232946E-2</v>
      </c>
      <c r="G39">
        <v>1</v>
      </c>
      <c r="H39">
        <v>1</v>
      </c>
      <c r="I39" s="5">
        <v>0.94788792720000004</v>
      </c>
      <c r="J39">
        <f t="shared" si="4"/>
        <v>5.2112072799999964E-2</v>
      </c>
      <c r="L39">
        <v>-1</v>
      </c>
      <c r="M39" s="5">
        <v>0.57142857142857095</v>
      </c>
      <c r="N39" s="5">
        <v>0.51045609584838603</v>
      </c>
      <c r="O39">
        <f t="shared" si="5"/>
        <v>0.1067018322653237</v>
      </c>
    </row>
    <row r="40" spans="1:15" x14ac:dyDescent="0.2">
      <c r="B40">
        <v>0.9</v>
      </c>
      <c r="C40">
        <v>0.9</v>
      </c>
      <c r="D40" s="5">
        <v>0.94898810507418596</v>
      </c>
      <c r="E40">
        <f t="shared" si="3"/>
        <v>-5.4431227860206599E-2</v>
      </c>
      <c r="G40">
        <v>1</v>
      </c>
      <c r="H40">
        <v>1</v>
      </c>
      <c r="I40" s="5">
        <v>0.942097696888888</v>
      </c>
      <c r="J40">
        <f t="shared" si="4"/>
        <v>5.7902303111111997E-2</v>
      </c>
      <c r="L40" s="7">
        <v>-1</v>
      </c>
      <c r="M40" s="7">
        <v>1</v>
      </c>
      <c r="N40" s="8">
        <v>0.41050683104838598</v>
      </c>
      <c r="O40">
        <f t="shared" si="5"/>
        <v>0.58949316895161408</v>
      </c>
    </row>
    <row r="41" spans="1:15" x14ac:dyDescent="0.2">
      <c r="B41">
        <v>0</v>
      </c>
      <c r="C41">
        <v>1</v>
      </c>
      <c r="D41" s="5">
        <v>0.94261161820845896</v>
      </c>
      <c r="E41">
        <f t="shared" si="3"/>
        <v>5.7388381791541043E-2</v>
      </c>
      <c r="G41" s="9">
        <v>0</v>
      </c>
      <c r="H41" s="9">
        <v>1</v>
      </c>
      <c r="I41" s="10">
        <v>0.93485990900000004</v>
      </c>
      <c r="J41">
        <f t="shared" si="4"/>
        <v>6.5140090999999956E-2</v>
      </c>
      <c r="L41" s="7">
        <v>-1</v>
      </c>
      <c r="M41" s="7">
        <v>1</v>
      </c>
      <c r="N41" s="8">
        <v>0.41050683104838598</v>
      </c>
      <c r="O41">
        <f t="shared" si="5"/>
        <v>0.58949316895161408</v>
      </c>
    </row>
    <row r="42" spans="1:15" x14ac:dyDescent="0.2">
      <c r="B42" s="3">
        <v>0.5</v>
      </c>
      <c r="C42" s="3">
        <v>0.5</v>
      </c>
      <c r="D42" s="12">
        <v>0.94261161820845896</v>
      </c>
      <c r="E42">
        <f t="shared" si="3"/>
        <v>-0.88522323641691791</v>
      </c>
      <c r="G42">
        <v>1</v>
      </c>
      <c r="H42">
        <v>1</v>
      </c>
      <c r="I42" s="5">
        <v>0.95043774599999997</v>
      </c>
      <c r="J42">
        <f t="shared" si="4"/>
        <v>4.9562254000000028E-2</v>
      </c>
      <c r="L42">
        <v>-1</v>
      </c>
      <c r="M42">
        <v>0.5</v>
      </c>
      <c r="N42" s="5">
        <v>0.55652036017741902</v>
      </c>
      <c r="O42">
        <f t="shared" si="5"/>
        <v>-0.11304072035483803</v>
      </c>
    </row>
    <row r="43" spans="1:15" x14ac:dyDescent="0.2">
      <c r="B43">
        <v>1</v>
      </c>
      <c r="C43">
        <v>1</v>
      </c>
      <c r="D43" s="5">
        <v>0.95408929456676705</v>
      </c>
      <c r="E43">
        <f t="shared" si="3"/>
        <v>4.5910705433232946E-2</v>
      </c>
      <c r="G43">
        <v>1</v>
      </c>
      <c r="H43">
        <v>1</v>
      </c>
      <c r="I43" s="5">
        <v>0.94788792720000004</v>
      </c>
      <c r="J43">
        <f t="shared" si="4"/>
        <v>5.2112072799999964E-2</v>
      </c>
      <c r="L43" s="9">
        <v>1</v>
      </c>
      <c r="M43" s="9">
        <v>0.65</v>
      </c>
      <c r="N43" s="10">
        <v>0.51045609584838603</v>
      </c>
      <c r="O43">
        <f t="shared" si="5"/>
        <v>0.21468292946402154</v>
      </c>
    </row>
    <row r="44" spans="1:15" x14ac:dyDescent="0.2">
      <c r="B44">
        <v>0</v>
      </c>
      <c r="C44">
        <v>1</v>
      </c>
      <c r="D44" s="5">
        <v>0.934557052608459</v>
      </c>
      <c r="E44">
        <f t="shared" si="3"/>
        <v>6.5442947391540995E-2</v>
      </c>
      <c r="G44" s="9">
        <v>0</v>
      </c>
      <c r="H44" s="9">
        <v>1</v>
      </c>
      <c r="I44" s="10">
        <v>0.93485990900000004</v>
      </c>
      <c r="J44">
        <f t="shared" si="4"/>
        <v>6.5140090999999956E-2</v>
      </c>
      <c r="L44" s="7">
        <v>0</v>
      </c>
      <c r="M44" s="7">
        <v>1</v>
      </c>
      <c r="N44" s="8">
        <v>0.38807011981048301</v>
      </c>
      <c r="O44">
        <f t="shared" si="5"/>
        <v>0.61192988018951699</v>
      </c>
    </row>
    <row r="45" spans="1:15" x14ac:dyDescent="0.2">
      <c r="D45" s="5"/>
      <c r="E45" s="2">
        <f>AVERAGE(E35:E44)</f>
        <v>-4.8143377639705352E-2</v>
      </c>
      <c r="I45" s="5"/>
      <c r="J45" s="2">
        <f>AVERAGE(J35:J44)</f>
        <v>5.3291125661616257E-2</v>
      </c>
      <c r="N45" s="5"/>
      <c r="O45" s="2">
        <f>AVERAGE(O35:O44)</f>
        <v>0.35927225216628222</v>
      </c>
    </row>
    <row r="46" spans="1:15" s="3" customFormat="1" x14ac:dyDescent="0.2">
      <c r="D46" s="12"/>
    </row>
    <row r="47" spans="1:15" x14ac:dyDescent="0.2">
      <c r="A47" s="2" t="s">
        <v>44</v>
      </c>
      <c r="B47" s="2" t="s">
        <v>51</v>
      </c>
      <c r="C47" s="2" t="s">
        <v>52</v>
      </c>
      <c r="D47" s="2" t="s">
        <v>46</v>
      </c>
      <c r="E47" s="2" t="s">
        <v>64</v>
      </c>
      <c r="F47" s="2" t="s">
        <v>44</v>
      </c>
      <c r="G47" s="2" t="s">
        <v>51</v>
      </c>
      <c r="H47" s="2" t="s">
        <v>52</v>
      </c>
      <c r="I47" s="2" t="s">
        <v>46</v>
      </c>
      <c r="J47" s="2" t="s">
        <v>64</v>
      </c>
      <c r="K47" s="2" t="s">
        <v>44</v>
      </c>
      <c r="L47" s="2" t="s">
        <v>51</v>
      </c>
      <c r="M47" s="2" t="s">
        <v>52</v>
      </c>
      <c r="N47" s="2" t="s">
        <v>46</v>
      </c>
      <c r="O47" s="2" t="s">
        <v>64</v>
      </c>
    </row>
    <row r="48" spans="1:15" x14ac:dyDescent="0.2">
      <c r="A48" s="3" t="s">
        <v>43</v>
      </c>
      <c r="F48" s="3" t="s">
        <v>43</v>
      </c>
      <c r="K48" s="3" t="s">
        <v>43</v>
      </c>
    </row>
    <row r="49" spans="1:21" x14ac:dyDescent="0.2">
      <c r="A49" s="3"/>
      <c r="B49">
        <v>1</v>
      </c>
      <c r="C49">
        <v>1</v>
      </c>
      <c r="D49" s="5">
        <v>0.981047858666666</v>
      </c>
      <c r="E49">
        <f>(C49-D49)/C49</f>
        <v>1.8952141333334005E-2</v>
      </c>
      <c r="F49" s="3"/>
      <c r="G49">
        <v>1</v>
      </c>
      <c r="H49">
        <v>1</v>
      </c>
      <c r="I49">
        <v>1</v>
      </c>
      <c r="J49">
        <f>(H49-I49)/H49</f>
        <v>0</v>
      </c>
      <c r="K49" s="3"/>
      <c r="L49" s="9">
        <v>1</v>
      </c>
      <c r="M49" s="9">
        <v>1</v>
      </c>
      <c r="N49" s="10">
        <v>0.66683578399999999</v>
      </c>
      <c r="O49">
        <f>(M49-N49)/M49</f>
        <v>0.33316421600000001</v>
      </c>
      <c r="P49" t="s">
        <v>66</v>
      </c>
      <c r="U49" t="s">
        <v>67</v>
      </c>
    </row>
    <row r="50" spans="1:21" x14ac:dyDescent="0.2">
      <c r="B50">
        <v>1</v>
      </c>
      <c r="C50">
        <v>1</v>
      </c>
      <c r="D50" s="5">
        <v>0.97630982333333305</v>
      </c>
      <c r="E50">
        <f t="shared" ref="E50:E58" si="6">(C50-D50)/C50</f>
        <v>2.3690176666666951E-2</v>
      </c>
      <c r="G50">
        <v>1</v>
      </c>
      <c r="H50">
        <v>1</v>
      </c>
      <c r="I50" s="5">
        <v>1</v>
      </c>
      <c r="J50">
        <f t="shared" ref="J50:J58" si="7">(H50-I50)/H50</f>
        <v>0</v>
      </c>
      <c r="L50" s="7">
        <v>-1</v>
      </c>
      <c r="M50" s="7">
        <v>0.75</v>
      </c>
      <c r="N50" s="8">
        <v>0.58354472999999996</v>
      </c>
      <c r="O50">
        <f t="shared" ref="O50:O58" si="8">(M50-N50)/M50</f>
        <v>0.22194036000000006</v>
      </c>
    </row>
    <row r="51" spans="1:21" x14ac:dyDescent="0.2">
      <c r="B51">
        <v>1</v>
      </c>
      <c r="C51">
        <v>1</v>
      </c>
      <c r="D51" s="5">
        <v>0.97473047822222203</v>
      </c>
      <c r="E51">
        <f t="shared" si="6"/>
        <v>2.526952177777797E-2</v>
      </c>
      <c r="G51">
        <v>1</v>
      </c>
      <c r="H51">
        <v>1</v>
      </c>
      <c r="I51" s="5">
        <v>0.99040273177777705</v>
      </c>
      <c r="J51">
        <f t="shared" si="7"/>
        <v>9.5972682222229544E-3</v>
      </c>
      <c r="L51" s="7">
        <v>-1</v>
      </c>
      <c r="M51" s="7">
        <v>0.8</v>
      </c>
      <c r="N51" s="8">
        <v>0.55578104533333295</v>
      </c>
      <c r="O51">
        <f t="shared" si="8"/>
        <v>0.30527369333333387</v>
      </c>
    </row>
    <row r="52" spans="1:21" x14ac:dyDescent="0.2">
      <c r="B52">
        <v>1</v>
      </c>
      <c r="C52">
        <v>1</v>
      </c>
      <c r="D52" s="5">
        <v>0.93524716533333296</v>
      </c>
      <c r="E52">
        <f t="shared" si="6"/>
        <v>6.4752834666667036E-2</v>
      </c>
      <c r="G52">
        <v>1</v>
      </c>
      <c r="H52">
        <v>1</v>
      </c>
      <c r="I52" s="5">
        <v>0.97120819533333302</v>
      </c>
      <c r="J52">
        <f t="shared" si="7"/>
        <v>2.8791804666666976E-2</v>
      </c>
      <c r="L52" s="7">
        <v>0</v>
      </c>
      <c r="M52" s="7">
        <v>0.95</v>
      </c>
      <c r="N52" s="8">
        <v>0.61453857266666601</v>
      </c>
      <c r="O52">
        <f t="shared" si="8"/>
        <v>0.35311729192982522</v>
      </c>
    </row>
    <row r="53" spans="1:21" x14ac:dyDescent="0.2">
      <c r="B53">
        <v>1</v>
      </c>
      <c r="C53">
        <v>1</v>
      </c>
      <c r="D53" s="5">
        <v>0.97725743039999902</v>
      </c>
      <c r="E53">
        <f t="shared" si="6"/>
        <v>2.2742569600000984E-2</v>
      </c>
      <c r="G53">
        <v>1</v>
      </c>
      <c r="H53">
        <v>1</v>
      </c>
      <c r="I53">
        <v>1</v>
      </c>
      <c r="J53">
        <f t="shared" si="7"/>
        <v>0</v>
      </c>
      <c r="L53">
        <v>0</v>
      </c>
      <c r="M53">
        <v>0.5</v>
      </c>
      <c r="N53" s="5">
        <v>0.56882461399999995</v>
      </c>
      <c r="O53">
        <f t="shared" si="8"/>
        <v>-0.1376492279999999</v>
      </c>
    </row>
    <row r="54" spans="1:21" x14ac:dyDescent="0.2">
      <c r="B54">
        <v>1</v>
      </c>
      <c r="C54">
        <v>1</v>
      </c>
      <c r="D54" s="5">
        <v>0.93524716533333296</v>
      </c>
      <c r="E54">
        <f t="shared" si="6"/>
        <v>6.4752834666667036E-2</v>
      </c>
      <c r="G54">
        <v>1</v>
      </c>
      <c r="H54" s="5">
        <v>0.90909090909090895</v>
      </c>
      <c r="I54" s="5">
        <v>0.97120819533333302</v>
      </c>
      <c r="J54">
        <f t="shared" si="7"/>
        <v>-6.8329014866666496E-2</v>
      </c>
      <c r="L54" s="9">
        <v>1</v>
      </c>
      <c r="M54" s="9">
        <v>1</v>
      </c>
      <c r="N54" s="10">
        <v>0.61453857266666601</v>
      </c>
      <c r="O54">
        <f t="shared" si="8"/>
        <v>0.38546142733333399</v>
      </c>
    </row>
    <row r="55" spans="1:21" x14ac:dyDescent="0.2">
      <c r="B55">
        <v>1</v>
      </c>
      <c r="C55">
        <v>1</v>
      </c>
      <c r="D55" s="5">
        <v>0.97725743039999902</v>
      </c>
      <c r="E55">
        <f t="shared" si="6"/>
        <v>2.2742569600000984E-2</v>
      </c>
      <c r="G55">
        <v>1</v>
      </c>
      <c r="H55" s="5">
        <v>1</v>
      </c>
      <c r="I55" s="5">
        <v>0.97120819533333302</v>
      </c>
      <c r="J55">
        <f t="shared" si="7"/>
        <v>2.8791804666666976E-2</v>
      </c>
      <c r="L55" s="7">
        <v>0</v>
      </c>
      <c r="M55" s="7">
        <v>0.85</v>
      </c>
      <c r="N55" s="8">
        <v>0.60020293999999996</v>
      </c>
      <c r="O55">
        <f t="shared" si="8"/>
        <v>0.29387889411764706</v>
      </c>
    </row>
    <row r="56" spans="1:21" x14ac:dyDescent="0.2">
      <c r="B56">
        <v>1</v>
      </c>
      <c r="C56">
        <v>1</v>
      </c>
      <c r="D56" s="5">
        <v>0.99289294699999997</v>
      </c>
      <c r="E56">
        <f t="shared" si="6"/>
        <v>7.1070530000000298E-3</v>
      </c>
      <c r="G56">
        <v>1</v>
      </c>
      <c r="H56">
        <v>1</v>
      </c>
      <c r="I56">
        <v>1</v>
      </c>
      <c r="J56">
        <f t="shared" si="7"/>
        <v>0</v>
      </c>
      <c r="L56">
        <v>1</v>
      </c>
      <c r="M56">
        <v>1</v>
      </c>
      <c r="N56" s="5">
        <v>0.87506341899999995</v>
      </c>
      <c r="O56">
        <f t="shared" si="8"/>
        <v>0.12493658100000005</v>
      </c>
    </row>
    <row r="57" spans="1:21" x14ac:dyDescent="0.2">
      <c r="B57">
        <v>1</v>
      </c>
      <c r="C57">
        <v>1</v>
      </c>
      <c r="D57" s="5">
        <v>0.98578589399999905</v>
      </c>
      <c r="E57">
        <f t="shared" si="6"/>
        <v>1.4214106000000948E-2</v>
      </c>
      <c r="G57">
        <v>1</v>
      </c>
      <c r="H57">
        <v>1</v>
      </c>
      <c r="I57">
        <v>1</v>
      </c>
      <c r="J57">
        <f t="shared" si="7"/>
        <v>0</v>
      </c>
      <c r="L57">
        <v>1</v>
      </c>
      <c r="M57" s="5">
        <v>0.65384615384615297</v>
      </c>
      <c r="N57" s="5">
        <v>0.75012683800000002</v>
      </c>
      <c r="O57">
        <f t="shared" si="8"/>
        <v>-0.14725281105882509</v>
      </c>
    </row>
    <row r="58" spans="1:21" x14ac:dyDescent="0.2">
      <c r="B58">
        <v>1</v>
      </c>
      <c r="C58">
        <v>1</v>
      </c>
      <c r="D58" s="5">
        <v>0.94472323599999997</v>
      </c>
      <c r="E58">
        <f t="shared" si="6"/>
        <v>5.5276764000000034E-2</v>
      </c>
      <c r="G58">
        <v>1</v>
      </c>
      <c r="H58">
        <v>1</v>
      </c>
      <c r="I58" s="5">
        <v>0.97120819533333302</v>
      </c>
      <c r="J58">
        <f t="shared" si="7"/>
        <v>2.8791804666666976E-2</v>
      </c>
      <c r="L58" s="9">
        <v>1</v>
      </c>
      <c r="M58" s="9">
        <v>1</v>
      </c>
      <c r="N58" s="10">
        <v>0.78112068066666596</v>
      </c>
      <c r="O58">
        <f t="shared" si="8"/>
        <v>0.21887931933333404</v>
      </c>
    </row>
    <row r="59" spans="1:21" x14ac:dyDescent="0.2">
      <c r="E59" s="2">
        <f>AVERAGE(E49:E58)</f>
        <v>3.1950057131111598E-2</v>
      </c>
      <c r="J59" s="2">
        <f>AVERAGE(J49:J58)</f>
        <v>2.7643667355557386E-3</v>
      </c>
      <c r="O59" s="2">
        <f>AVERAGE(O49:O58)</f>
        <v>0.19517497439886491</v>
      </c>
    </row>
    <row r="62" spans="1:21" x14ac:dyDescent="0.2">
      <c r="A62" t="s">
        <v>69</v>
      </c>
    </row>
    <row r="63" spans="1:21" x14ac:dyDescent="0.2">
      <c r="A63" t="s">
        <v>70</v>
      </c>
    </row>
    <row r="64" spans="1:21" x14ac:dyDescent="0.2">
      <c r="A64" t="s">
        <v>71</v>
      </c>
      <c r="B64" s="13">
        <f>AVERAGE(E30,J30,O30,O45,J45,E45,E59,J59,O59)</f>
        <v>0.11451138710891734</v>
      </c>
    </row>
    <row r="65" spans="1:5" x14ac:dyDescent="0.2">
      <c r="A65" t="s">
        <v>72</v>
      </c>
      <c r="B65" s="13">
        <f>AVERAGE(E30,E45,E59)</f>
        <v>1.6198272930094865E-2</v>
      </c>
      <c r="D65" t="s">
        <v>186</v>
      </c>
    </row>
    <row r="66" spans="1:5" x14ac:dyDescent="0.2">
      <c r="A66" t="s">
        <v>73</v>
      </c>
      <c r="B66" s="13">
        <f>AVERAGE(J30,J45,J59)</f>
        <v>2.2610552767707948E-2</v>
      </c>
      <c r="D66" t="s">
        <v>187</v>
      </c>
    </row>
    <row r="67" spans="1:5" x14ac:dyDescent="0.2">
      <c r="A67" t="s">
        <v>74</v>
      </c>
      <c r="B67" s="13">
        <f>AVERAGE(O30,O45,O59)</f>
        <v>0.30472533562894927</v>
      </c>
      <c r="D67" t="s">
        <v>188</v>
      </c>
    </row>
    <row r="71" spans="1:5" x14ac:dyDescent="0.2">
      <c r="D71" s="5">
        <v>0.75012683800000002</v>
      </c>
      <c r="E71">
        <f t="shared" ref="E71:E91" si="9">_xlfn.NUMBERVALUE(D71,",")</f>
        <v>0.75012683800000002</v>
      </c>
    </row>
    <row r="72" spans="1:5" x14ac:dyDescent="0.2">
      <c r="D72" s="8">
        <v>0.42546463854032202</v>
      </c>
      <c r="E72">
        <f t="shared" si="9"/>
        <v>0.42546463854032202</v>
      </c>
    </row>
    <row r="73" spans="1:5" x14ac:dyDescent="0.2">
      <c r="D73" s="10">
        <v>0.50025367600000004</v>
      </c>
      <c r="E73">
        <f t="shared" si="9"/>
        <v>0.50025367600000004</v>
      </c>
    </row>
    <row r="74" spans="1:5" x14ac:dyDescent="0.2">
      <c r="D74" s="8">
        <v>0.42546463854032202</v>
      </c>
      <c r="E74">
        <f t="shared" si="9"/>
        <v>0.42546463854032202</v>
      </c>
    </row>
    <row r="75" spans="1:5" x14ac:dyDescent="0.2">
      <c r="D75" s="8">
        <v>0.42546463854032202</v>
      </c>
      <c r="E75">
        <f t="shared" si="9"/>
        <v>0.42546463854032202</v>
      </c>
    </row>
    <row r="76" spans="1:5" x14ac:dyDescent="0.2">
      <c r="D76" s="8">
        <v>0.42546463854032202</v>
      </c>
      <c r="E76">
        <f t="shared" si="9"/>
        <v>0.42546463854032202</v>
      </c>
    </row>
    <row r="77" spans="1:5" x14ac:dyDescent="0.2">
      <c r="D77" s="8">
        <v>0.42546463854032202</v>
      </c>
      <c r="E77">
        <f t="shared" si="9"/>
        <v>0.42546463854032202</v>
      </c>
    </row>
    <row r="78" spans="1:5" x14ac:dyDescent="0.2">
      <c r="D78" s="8">
        <v>0.42546463854032202</v>
      </c>
      <c r="E78">
        <f t="shared" si="9"/>
        <v>0.42546463854032202</v>
      </c>
    </row>
    <row r="79" spans="1:5" x14ac:dyDescent="0.2">
      <c r="D79" s="5">
        <v>0.61453857266666601</v>
      </c>
      <c r="E79">
        <f t="shared" si="9"/>
        <v>0.61453857266666601</v>
      </c>
    </row>
    <row r="80" spans="1:5" x14ac:dyDescent="0.2">
      <c r="D80" s="8">
        <v>0.42546463854032202</v>
      </c>
      <c r="E80">
        <f t="shared" si="9"/>
        <v>0.42546463854032202</v>
      </c>
    </row>
    <row r="81" spans="4:5" x14ac:dyDescent="0.2">
      <c r="D81" s="10">
        <v>0.78112068066666596</v>
      </c>
      <c r="E81">
        <f t="shared" si="9"/>
        <v>0.78112068066666596</v>
      </c>
    </row>
    <row r="82" spans="4:5" x14ac:dyDescent="0.2">
      <c r="D82" s="5">
        <v>0.61453857266666601</v>
      </c>
      <c r="E82">
        <f t="shared" si="9"/>
        <v>0.61453857266666601</v>
      </c>
    </row>
    <row r="83" spans="4:5" x14ac:dyDescent="0.2">
      <c r="D83" s="10">
        <v>0.67168102100000004</v>
      </c>
      <c r="E83">
        <f t="shared" si="9"/>
        <v>0.67168102100000004</v>
      </c>
    </row>
    <row r="84" spans="4:5" x14ac:dyDescent="0.2">
      <c r="D84" s="10">
        <v>0.71090392950000003</v>
      </c>
      <c r="E84">
        <f t="shared" si="9"/>
        <v>0.71090392950000003</v>
      </c>
    </row>
    <row r="85" spans="4:5" x14ac:dyDescent="0.2">
      <c r="D85" s="5">
        <v>0.92155418300000003</v>
      </c>
      <c r="E85">
        <f t="shared" si="9"/>
        <v>0.92155418300000003</v>
      </c>
    </row>
    <row r="86" spans="4:5" x14ac:dyDescent="0.2">
      <c r="D86" s="8">
        <v>0.42546463854032202</v>
      </c>
      <c r="E86">
        <f t="shared" si="9"/>
        <v>0.42546463854032202</v>
      </c>
    </row>
    <row r="87" spans="4:5" x14ac:dyDescent="0.2">
      <c r="D87" s="5"/>
      <c r="E87">
        <f t="shared" si="9"/>
        <v>0</v>
      </c>
    </row>
    <row r="88" spans="4:5" x14ac:dyDescent="0.2">
      <c r="D88" s="5"/>
      <c r="E88">
        <f t="shared" si="9"/>
        <v>0</v>
      </c>
    </row>
    <row r="89" spans="4:5" x14ac:dyDescent="0.2">
      <c r="D89" s="5"/>
      <c r="E89">
        <f t="shared" si="9"/>
        <v>0</v>
      </c>
    </row>
    <row r="90" spans="4:5" x14ac:dyDescent="0.2">
      <c r="D90" s="5"/>
      <c r="E90">
        <f t="shared" si="9"/>
        <v>0</v>
      </c>
    </row>
    <row r="91" spans="4:5" x14ac:dyDescent="0.2">
      <c r="D91" s="5"/>
      <c r="E91">
        <f t="shared" si="9"/>
        <v>0</v>
      </c>
    </row>
    <row r="97" spans="1:4" x14ac:dyDescent="0.2">
      <c r="A97" t="s">
        <v>75</v>
      </c>
    </row>
    <row r="98" spans="1:4" x14ac:dyDescent="0.2">
      <c r="A98" t="s">
        <v>72</v>
      </c>
      <c r="B98" s="3" t="s">
        <v>86</v>
      </c>
      <c r="C98" s="3" t="s">
        <v>87</v>
      </c>
      <c r="D98" s="3" t="s">
        <v>88</v>
      </c>
    </row>
    <row r="99" spans="1:4" x14ac:dyDescent="0.2">
      <c r="A99" s="2"/>
    </row>
    <row r="100" spans="1:4" x14ac:dyDescent="0.2">
      <c r="B100">
        <v>1.4214106000000948E-2</v>
      </c>
      <c r="C100">
        <v>5.2650346458206987E-2</v>
      </c>
      <c r="D100">
        <v>1.8952141333334005E-2</v>
      </c>
    </row>
    <row r="101" spans="1:4" x14ac:dyDescent="0.2">
      <c r="B101">
        <v>7.3204505757774652E-2</v>
      </c>
      <c r="C101">
        <v>6.5442947391540995E-2</v>
      </c>
      <c r="D101">
        <v>2.3690176666666951E-2</v>
      </c>
    </row>
    <row r="102" spans="1:4" x14ac:dyDescent="0.2">
      <c r="B102">
        <v>8.2915146000000051E-2</v>
      </c>
      <c r="C102">
        <v>5.0281328791541013E-2</v>
      </c>
      <c r="D102">
        <v>2.526952177777797E-2</v>
      </c>
    </row>
    <row r="103" spans="1:4" x14ac:dyDescent="0.2">
      <c r="B103">
        <v>9.260606231966205E-2</v>
      </c>
      <c r="C103">
        <v>7.519332518923405E-2</v>
      </c>
      <c r="D103">
        <v>6.4752834666667036E-2</v>
      </c>
    </row>
    <row r="104" spans="1:4" x14ac:dyDescent="0.2">
      <c r="B104">
        <v>0.113940523352415</v>
      </c>
      <c r="C104">
        <v>4.5910705433232946E-2</v>
      </c>
      <c r="D104">
        <v>2.2742569600000984E-2</v>
      </c>
    </row>
    <row r="105" spans="1:4" x14ac:dyDescent="0.2">
      <c r="B105">
        <v>-1.4248256348522384E-2</v>
      </c>
      <c r="C105">
        <v>-5.4431227860206599E-2</v>
      </c>
      <c r="D105">
        <v>6.4752834666667036E-2</v>
      </c>
    </row>
    <row r="106" spans="1:4" x14ac:dyDescent="0.2">
      <c r="B106">
        <v>0.12072878930321895</v>
      </c>
      <c r="C106">
        <v>5.7388381791541043E-2</v>
      </c>
      <c r="D106">
        <v>2.2742569600000984E-2</v>
      </c>
    </row>
    <row r="107" spans="1:4" x14ac:dyDescent="0.2">
      <c r="B107">
        <v>0.13448731552862203</v>
      </c>
      <c r="C107">
        <v>-0.88522323641691791</v>
      </c>
      <c r="D107">
        <v>7.1070530000000298E-3</v>
      </c>
    </row>
    <row r="108" spans="1:4" x14ac:dyDescent="0.2">
      <c r="B108">
        <v>6.4752834666667036E-2</v>
      </c>
      <c r="C108">
        <v>4.5910705433232946E-2</v>
      </c>
      <c r="D108">
        <v>1.4214106000000948E-2</v>
      </c>
    </row>
    <row r="109" spans="1:4" x14ac:dyDescent="0.2">
      <c r="B109">
        <v>0.10575522386881298</v>
      </c>
      <c r="C109">
        <v>6.5442947391540995E-2</v>
      </c>
      <c r="D109">
        <v>5.5276764000000034E-2</v>
      </c>
    </row>
    <row r="110" spans="1:4" x14ac:dyDescent="0.2">
      <c r="B110">
        <v>5.5276764000000034E-2</v>
      </c>
    </row>
    <row r="111" spans="1:4" x14ac:dyDescent="0.2">
      <c r="B111">
        <v>1.799047639999999E-2</v>
      </c>
    </row>
    <row r="112" spans="1:4" x14ac:dyDescent="0.2">
      <c r="B112">
        <v>8.2915146000000051E-2</v>
      </c>
    </row>
    <row r="113" spans="1:4" x14ac:dyDescent="0.2">
      <c r="B113">
        <v>4.8564626000000999E-2</v>
      </c>
    </row>
    <row r="114" spans="1:4" x14ac:dyDescent="0.2">
      <c r="B114">
        <v>1.9685305263157839E-2</v>
      </c>
    </row>
    <row r="115" spans="1:4" x14ac:dyDescent="0.2">
      <c r="B115">
        <v>2.3821660670243369E-2</v>
      </c>
    </row>
    <row r="118" spans="1:4" x14ac:dyDescent="0.2">
      <c r="A118" t="s">
        <v>73</v>
      </c>
      <c r="B118" s="3" t="s">
        <v>86</v>
      </c>
      <c r="C118" s="3" t="s">
        <v>87</v>
      </c>
      <c r="D118" s="3" t="s">
        <v>88</v>
      </c>
    </row>
    <row r="119" spans="1:4" x14ac:dyDescent="0.2">
      <c r="B119">
        <v>0</v>
      </c>
      <c r="C119">
        <v>6.5140090999999956E-2</v>
      </c>
      <c r="D119">
        <v>0</v>
      </c>
    </row>
    <row r="120" spans="1:4" x14ac:dyDescent="0.2">
      <c r="B120">
        <v>6.5140090999999956E-2</v>
      </c>
      <c r="C120">
        <v>7.3777632400000015E-2</v>
      </c>
      <c r="D120">
        <v>0</v>
      </c>
    </row>
    <row r="121" spans="1:4" x14ac:dyDescent="0.2">
      <c r="B121">
        <v>4.3187706999999964E-2</v>
      </c>
      <c r="C121">
        <v>-3.8733232222222247E-2</v>
      </c>
      <c r="D121">
        <v>9.5972682222229544E-3</v>
      </c>
    </row>
    <row r="122" spans="1:4" x14ac:dyDescent="0.2">
      <c r="B122">
        <v>7.4445818285714949E-2</v>
      </c>
      <c r="C122">
        <v>9.0757880727272977E-2</v>
      </c>
      <c r="D122">
        <v>2.8791804666666976E-2</v>
      </c>
    </row>
    <row r="123" spans="1:4" x14ac:dyDescent="0.2">
      <c r="B123">
        <v>5.9651994999999958E-2</v>
      </c>
      <c r="C123">
        <v>5.2112072799999964E-2</v>
      </c>
      <c r="D123">
        <v>0</v>
      </c>
    </row>
    <row r="124" spans="1:4" x14ac:dyDescent="0.2">
      <c r="B124">
        <v>7.4445818285714949E-2</v>
      </c>
      <c r="C124">
        <v>5.7902303111111997E-2</v>
      </c>
      <c r="D124">
        <v>-6.8329014866666496E-2</v>
      </c>
    </row>
    <row r="125" spans="1:4" x14ac:dyDescent="0.2">
      <c r="B125">
        <v>6.5140090999999956E-2</v>
      </c>
      <c r="C125">
        <v>6.5140090999999956E-2</v>
      </c>
      <c r="D125">
        <v>2.8791804666666976E-2</v>
      </c>
    </row>
    <row r="126" spans="1:4" x14ac:dyDescent="0.2">
      <c r="B126">
        <v>1.5936937894736748E-2</v>
      </c>
      <c r="C126">
        <v>4.9562254000000028E-2</v>
      </c>
      <c r="D126">
        <v>0</v>
      </c>
    </row>
    <row r="127" spans="1:4" x14ac:dyDescent="0.2">
      <c r="B127">
        <v>2.8791804666666976E-2</v>
      </c>
      <c r="C127">
        <v>5.2112072799999964E-2</v>
      </c>
      <c r="D127">
        <v>0</v>
      </c>
    </row>
    <row r="128" spans="1:4" x14ac:dyDescent="0.2">
      <c r="B128">
        <v>5.7822629666666958E-2</v>
      </c>
      <c r="C128">
        <v>6.5140090999999956E-2</v>
      </c>
      <c r="D128">
        <v>2.8791804666666976E-2</v>
      </c>
    </row>
    <row r="129" spans="1:4" x14ac:dyDescent="0.2">
      <c r="B129">
        <v>2.8791804666666976E-2</v>
      </c>
    </row>
    <row r="130" spans="1:4" x14ac:dyDescent="0.2">
      <c r="B130">
        <v>2.8791804666666976E-2</v>
      </c>
    </row>
    <row r="131" spans="1:4" x14ac:dyDescent="0.2">
      <c r="B131">
        <v>-6.3124770000000011E-2</v>
      </c>
    </row>
    <row r="132" spans="1:4" x14ac:dyDescent="0.2">
      <c r="B132">
        <v>-0.22300768312499997</v>
      </c>
    </row>
    <row r="133" spans="1:4" x14ac:dyDescent="0.2">
      <c r="B133">
        <v>4.3187706999999964E-2</v>
      </c>
    </row>
    <row r="134" spans="1:4" x14ac:dyDescent="0.2">
      <c r="B134">
        <v>-0.11078310151260479</v>
      </c>
    </row>
    <row r="136" spans="1:4" x14ac:dyDescent="0.2">
      <c r="A136" t="s">
        <v>76</v>
      </c>
      <c r="B136" s="3" t="s">
        <v>86</v>
      </c>
      <c r="C136" s="3" t="s">
        <v>87</v>
      </c>
      <c r="D136" s="3" t="s">
        <v>88</v>
      </c>
    </row>
    <row r="137" spans="1:4" x14ac:dyDescent="0.2">
      <c r="B137">
        <v>-0.25021139666666675</v>
      </c>
      <c r="C137">
        <v>0.47626536243279671</v>
      </c>
      <c r="D137">
        <v>0.33316421600000001</v>
      </c>
    </row>
    <row r="138" spans="1:4" x14ac:dyDescent="0.2">
      <c r="B138">
        <v>0.57453536145967798</v>
      </c>
      <c r="C138">
        <v>0.47518864309946335</v>
      </c>
      <c r="D138">
        <v>0.22194036000000006</v>
      </c>
    </row>
    <row r="139" spans="1:4" x14ac:dyDescent="0.2">
      <c r="B139">
        <v>0.44416258222222221</v>
      </c>
      <c r="C139">
        <v>-2.6013401620966103E-2</v>
      </c>
      <c r="D139">
        <v>0.30527369333333387</v>
      </c>
    </row>
    <row r="140" spans="1:4" x14ac:dyDescent="0.2">
      <c r="B140">
        <v>0.57453536145967798</v>
      </c>
      <c r="C140">
        <v>0.66802165828427595</v>
      </c>
      <c r="D140">
        <v>0.35311729192982522</v>
      </c>
    </row>
    <row r="141" spans="1:4" x14ac:dyDescent="0.2">
      <c r="B141">
        <v>0.57453536145967798</v>
      </c>
      <c r="C141">
        <v>0.1067018322653237</v>
      </c>
      <c r="D141">
        <v>-0.1376492279999999</v>
      </c>
    </row>
    <row r="142" spans="1:4" x14ac:dyDescent="0.2">
      <c r="B142">
        <v>0.57453536145967798</v>
      </c>
      <c r="C142">
        <v>0.58949316895161408</v>
      </c>
      <c r="D142">
        <v>0.38546142733333399</v>
      </c>
    </row>
    <row r="143" spans="1:4" x14ac:dyDescent="0.2">
      <c r="B143">
        <v>0.57453536145967798</v>
      </c>
      <c r="C143">
        <v>0.58949316895161408</v>
      </c>
      <c r="D143">
        <v>0.29387889411764706</v>
      </c>
    </row>
    <row r="144" spans="1:4" x14ac:dyDescent="0.2">
      <c r="B144">
        <v>0.57453536145967798</v>
      </c>
      <c r="C144">
        <v>-0.11304072035483803</v>
      </c>
      <c r="D144">
        <v>0.12493658100000005</v>
      </c>
    </row>
    <row r="145" spans="2:4" x14ac:dyDescent="0.2">
      <c r="B145">
        <v>0.31717936370370448</v>
      </c>
      <c r="C145">
        <v>0.21468292946402154</v>
      </c>
      <c r="D145">
        <v>-0.14725281105882509</v>
      </c>
    </row>
    <row r="146" spans="2:4" x14ac:dyDescent="0.2">
      <c r="B146">
        <v>0.57453536145967798</v>
      </c>
      <c r="C146">
        <v>0.61192988018951699</v>
      </c>
      <c r="D146">
        <v>0.21887931933333404</v>
      </c>
    </row>
    <row r="147" spans="2:4" x14ac:dyDescent="0.2">
      <c r="B147">
        <v>0.21887931933333404</v>
      </c>
    </row>
    <row r="148" spans="2:4" x14ac:dyDescent="0.2">
      <c r="B148">
        <v>-0.22907714533333201</v>
      </c>
    </row>
    <row r="149" spans="2:4" x14ac:dyDescent="0.2">
      <c r="B149">
        <v>0.32831897899999996</v>
      </c>
    </row>
    <row r="150" spans="2:4" x14ac:dyDescent="0.2">
      <c r="B150">
        <v>0.25168007421052624</v>
      </c>
    </row>
    <row r="151" spans="2:4" x14ac:dyDescent="0.2">
      <c r="B151">
        <v>7.8445816999999973E-2</v>
      </c>
    </row>
    <row r="152" spans="2:4" x14ac:dyDescent="0.2">
      <c r="B152">
        <v>0.57453536145967798</v>
      </c>
    </row>
  </sheetData>
  <dataConsolidate/>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134E0-1481-0E49-8B0D-2FABD4C3B7E2}">
  <dimension ref="A1:AN217"/>
  <sheetViews>
    <sheetView zoomScale="125" zoomScaleNormal="75" workbookViewId="0">
      <selection activeCell="I3" sqref="I3"/>
    </sheetView>
  </sheetViews>
  <sheetFormatPr baseColWidth="10" defaultRowHeight="16" x14ac:dyDescent="0.2"/>
  <sheetData>
    <row r="1" spans="1:20" x14ac:dyDescent="0.2">
      <c r="A1" t="s">
        <v>90</v>
      </c>
    </row>
    <row r="2" spans="1:20" x14ac:dyDescent="0.2">
      <c r="A2" t="s">
        <v>49</v>
      </c>
    </row>
    <row r="3" spans="1:20" x14ac:dyDescent="0.2">
      <c r="A3" t="s">
        <v>109</v>
      </c>
      <c r="B3" t="s">
        <v>110</v>
      </c>
      <c r="C3">
        <f>16*20</f>
        <v>320</v>
      </c>
      <c r="D3" t="s">
        <v>97</v>
      </c>
      <c r="E3">
        <f>10*20</f>
        <v>200</v>
      </c>
      <c r="F3" t="s">
        <v>105</v>
      </c>
      <c r="G3">
        <f>10*20</f>
        <v>200</v>
      </c>
      <c r="H3" t="s">
        <v>150</v>
      </c>
      <c r="I3">
        <f>28*20</f>
        <v>560</v>
      </c>
    </row>
    <row r="4" spans="1:20" x14ac:dyDescent="0.2">
      <c r="A4" t="s">
        <v>132</v>
      </c>
      <c r="B4">
        <f>16+10+10</f>
        <v>36</v>
      </c>
      <c r="C4">
        <v>28</v>
      </c>
    </row>
    <row r="8" spans="1:20" x14ac:dyDescent="0.2">
      <c r="A8" t="s">
        <v>45</v>
      </c>
      <c r="B8" t="s">
        <v>50</v>
      </c>
      <c r="C8" t="s">
        <v>171</v>
      </c>
      <c r="D8" t="s">
        <v>53</v>
      </c>
    </row>
    <row r="10" spans="1:20" x14ac:dyDescent="0.2">
      <c r="A10" t="s">
        <v>171</v>
      </c>
      <c r="B10" t="s">
        <v>60</v>
      </c>
      <c r="F10" s="2" t="s">
        <v>50</v>
      </c>
      <c r="G10" t="s">
        <v>61</v>
      </c>
      <c r="N10" s="2" t="s">
        <v>53</v>
      </c>
      <c r="O10" t="s">
        <v>59</v>
      </c>
    </row>
    <row r="12" spans="1:20" x14ac:dyDescent="0.2">
      <c r="A12" s="2" t="s">
        <v>212</v>
      </c>
      <c r="B12" s="2" t="s">
        <v>93</v>
      </c>
      <c r="C12" s="2" t="s">
        <v>94</v>
      </c>
      <c r="D12" s="2" t="s">
        <v>91</v>
      </c>
      <c r="E12" s="2" t="s">
        <v>92</v>
      </c>
      <c r="F12" s="2" t="s">
        <v>44</v>
      </c>
      <c r="G12" s="2" t="s">
        <v>93</v>
      </c>
      <c r="H12" s="2" t="s">
        <v>94</v>
      </c>
      <c r="I12" s="2" t="s">
        <v>91</v>
      </c>
      <c r="J12" s="2" t="s">
        <v>92</v>
      </c>
      <c r="K12" s="2" t="s">
        <v>99</v>
      </c>
      <c r="L12" s="2" t="s">
        <v>100</v>
      </c>
      <c r="M12" s="2"/>
      <c r="N12" s="2" t="s">
        <v>44</v>
      </c>
      <c r="O12" s="2" t="s">
        <v>93</v>
      </c>
      <c r="P12" s="2" t="s">
        <v>94</v>
      </c>
      <c r="Q12" s="2" t="s">
        <v>91</v>
      </c>
      <c r="R12" s="2" t="s">
        <v>92</v>
      </c>
      <c r="S12" s="2" t="s">
        <v>99</v>
      </c>
      <c r="T12" s="2" t="s">
        <v>100</v>
      </c>
    </row>
    <row r="13" spans="1:20" x14ac:dyDescent="0.2">
      <c r="A13" s="3" t="s">
        <v>86</v>
      </c>
      <c r="F13" s="3" t="s">
        <v>97</v>
      </c>
      <c r="N13" s="3" t="s">
        <v>97</v>
      </c>
    </row>
    <row r="14" spans="1:20" x14ac:dyDescent="0.2">
      <c r="B14">
        <v>0</v>
      </c>
      <c r="C14">
        <v>0</v>
      </c>
      <c r="D14">
        <v>0</v>
      </c>
      <c r="E14">
        <v>0</v>
      </c>
      <c r="G14">
        <v>0</v>
      </c>
      <c r="H14">
        <v>1</v>
      </c>
      <c r="K14">
        <v>4</v>
      </c>
      <c r="L14">
        <v>0</v>
      </c>
      <c r="O14">
        <v>0</v>
      </c>
      <c r="P14">
        <v>0</v>
      </c>
      <c r="S14">
        <v>0</v>
      </c>
      <c r="T14">
        <v>0</v>
      </c>
    </row>
    <row r="15" spans="1:20" x14ac:dyDescent="0.2">
      <c r="B15">
        <v>0</v>
      </c>
      <c r="C15">
        <v>0</v>
      </c>
      <c r="D15">
        <v>0</v>
      </c>
      <c r="E15">
        <v>0</v>
      </c>
      <c r="G15">
        <v>0</v>
      </c>
      <c r="H15">
        <v>0</v>
      </c>
      <c r="K15">
        <v>0</v>
      </c>
      <c r="L15">
        <v>0</v>
      </c>
      <c r="O15">
        <v>20</v>
      </c>
      <c r="P15">
        <v>0</v>
      </c>
      <c r="S15">
        <v>14</v>
      </c>
      <c r="T15">
        <v>0</v>
      </c>
    </row>
    <row r="16" spans="1:20" x14ac:dyDescent="0.2">
      <c r="B16">
        <v>0</v>
      </c>
      <c r="C16">
        <v>0</v>
      </c>
      <c r="D16">
        <v>0</v>
      </c>
      <c r="E16">
        <v>0</v>
      </c>
      <c r="G16">
        <v>0</v>
      </c>
      <c r="H16">
        <v>5</v>
      </c>
      <c r="K16">
        <v>0</v>
      </c>
      <c r="L16">
        <v>0</v>
      </c>
      <c r="O16">
        <v>20</v>
      </c>
      <c r="P16">
        <v>0</v>
      </c>
      <c r="S16">
        <v>20</v>
      </c>
      <c r="T16">
        <v>0</v>
      </c>
    </row>
    <row r="17" spans="1:34" x14ac:dyDescent="0.2">
      <c r="B17">
        <v>0</v>
      </c>
      <c r="C17">
        <v>0</v>
      </c>
      <c r="D17">
        <v>0</v>
      </c>
      <c r="E17">
        <v>0</v>
      </c>
      <c r="G17">
        <v>0</v>
      </c>
      <c r="H17">
        <v>0</v>
      </c>
      <c r="K17">
        <v>0</v>
      </c>
      <c r="L17">
        <v>1</v>
      </c>
      <c r="O17">
        <v>20</v>
      </c>
      <c r="P17">
        <v>0</v>
      </c>
      <c r="S17">
        <v>17</v>
      </c>
      <c r="T17">
        <v>3</v>
      </c>
    </row>
    <row r="18" spans="1:34" s="18" customFormat="1" x14ac:dyDescent="0.2">
      <c r="A18"/>
      <c r="B18">
        <v>0</v>
      </c>
      <c r="C18">
        <v>0</v>
      </c>
      <c r="D18">
        <v>0</v>
      </c>
      <c r="E18">
        <v>0</v>
      </c>
      <c r="F18"/>
      <c r="G18">
        <v>1</v>
      </c>
      <c r="H18">
        <v>0</v>
      </c>
      <c r="I18"/>
      <c r="J18"/>
      <c r="K18">
        <v>0</v>
      </c>
      <c r="L18">
        <v>0</v>
      </c>
      <c r="M18"/>
      <c r="N18"/>
      <c r="O18">
        <v>4</v>
      </c>
      <c r="P18">
        <v>0</v>
      </c>
      <c r="Q18"/>
      <c r="R18"/>
      <c r="S18">
        <v>0</v>
      </c>
      <c r="T18">
        <v>0</v>
      </c>
      <c r="U18"/>
      <c r="V18"/>
      <c r="W18"/>
      <c r="X18"/>
      <c r="Y18"/>
      <c r="Z18"/>
      <c r="AA18"/>
      <c r="AB18"/>
      <c r="AC18"/>
      <c r="AD18"/>
      <c r="AE18"/>
      <c r="AF18"/>
      <c r="AG18"/>
      <c r="AH18"/>
    </row>
    <row r="19" spans="1:34" x14ac:dyDescent="0.2">
      <c r="B19">
        <v>0</v>
      </c>
      <c r="C19">
        <v>0</v>
      </c>
      <c r="D19">
        <v>0</v>
      </c>
      <c r="E19">
        <v>0</v>
      </c>
      <c r="G19">
        <v>0</v>
      </c>
      <c r="H19">
        <v>2</v>
      </c>
      <c r="K19">
        <v>0</v>
      </c>
      <c r="L19">
        <v>0</v>
      </c>
      <c r="O19">
        <v>0</v>
      </c>
      <c r="P19">
        <v>0</v>
      </c>
      <c r="S19">
        <v>0</v>
      </c>
      <c r="T19">
        <v>0</v>
      </c>
    </row>
    <row r="20" spans="1:34" x14ac:dyDescent="0.2">
      <c r="B20">
        <v>0</v>
      </c>
      <c r="C20">
        <v>0</v>
      </c>
      <c r="D20">
        <v>0</v>
      </c>
      <c r="E20">
        <v>0</v>
      </c>
      <c r="G20">
        <v>0</v>
      </c>
      <c r="H20">
        <v>2</v>
      </c>
      <c r="K20">
        <v>0</v>
      </c>
      <c r="L20">
        <v>1</v>
      </c>
      <c r="O20">
        <v>16</v>
      </c>
      <c r="P20">
        <v>0</v>
      </c>
      <c r="S20">
        <v>10</v>
      </c>
      <c r="T20">
        <v>4</v>
      </c>
    </row>
    <row r="21" spans="1:34" x14ac:dyDescent="0.2">
      <c r="B21">
        <v>0</v>
      </c>
      <c r="C21">
        <v>0</v>
      </c>
      <c r="D21">
        <v>0</v>
      </c>
      <c r="E21">
        <v>0</v>
      </c>
      <c r="G21">
        <v>0</v>
      </c>
      <c r="H21">
        <v>0</v>
      </c>
      <c r="K21">
        <v>0</v>
      </c>
      <c r="L21">
        <v>0</v>
      </c>
      <c r="O21">
        <v>0</v>
      </c>
      <c r="P21">
        <v>0</v>
      </c>
      <c r="S21">
        <v>0</v>
      </c>
      <c r="T21">
        <v>0</v>
      </c>
    </row>
    <row r="22" spans="1:34" x14ac:dyDescent="0.2">
      <c r="B22">
        <v>0</v>
      </c>
      <c r="C22">
        <v>0</v>
      </c>
      <c r="D22">
        <v>0</v>
      </c>
      <c r="E22">
        <v>0</v>
      </c>
      <c r="G22">
        <v>0</v>
      </c>
      <c r="H22">
        <v>0</v>
      </c>
      <c r="K22">
        <v>0</v>
      </c>
      <c r="L22">
        <v>0</v>
      </c>
      <c r="O22">
        <v>0</v>
      </c>
      <c r="P22">
        <v>0</v>
      </c>
      <c r="S22">
        <v>0</v>
      </c>
      <c r="T22">
        <v>0</v>
      </c>
    </row>
    <row r="23" spans="1:34" x14ac:dyDescent="0.2">
      <c r="B23">
        <v>0</v>
      </c>
      <c r="C23">
        <v>0</v>
      </c>
      <c r="D23">
        <v>0</v>
      </c>
      <c r="E23">
        <v>0</v>
      </c>
      <c r="G23">
        <v>0</v>
      </c>
      <c r="H23">
        <v>0</v>
      </c>
      <c r="K23">
        <v>0</v>
      </c>
      <c r="L23">
        <v>0</v>
      </c>
      <c r="O23">
        <v>0</v>
      </c>
      <c r="P23">
        <v>0</v>
      </c>
      <c r="S23">
        <v>0</v>
      </c>
      <c r="T23">
        <v>0</v>
      </c>
    </row>
    <row r="24" spans="1:34" x14ac:dyDescent="0.2">
      <c r="F24" s="3" t="s">
        <v>95</v>
      </c>
      <c r="N24" s="3" t="s">
        <v>95</v>
      </c>
    </row>
    <row r="25" spans="1:34" x14ac:dyDescent="0.2">
      <c r="B25">
        <v>0</v>
      </c>
      <c r="C25">
        <v>0</v>
      </c>
      <c r="D25">
        <v>0</v>
      </c>
      <c r="E25">
        <v>0</v>
      </c>
      <c r="G25">
        <v>0</v>
      </c>
      <c r="H25">
        <v>0</v>
      </c>
      <c r="K25">
        <v>0</v>
      </c>
      <c r="L25">
        <v>1</v>
      </c>
      <c r="O25">
        <v>0</v>
      </c>
      <c r="P25">
        <v>0</v>
      </c>
      <c r="S25">
        <v>0</v>
      </c>
      <c r="T25">
        <v>0</v>
      </c>
    </row>
    <row r="26" spans="1:34" x14ac:dyDescent="0.2">
      <c r="B26">
        <v>0</v>
      </c>
      <c r="C26">
        <v>0</v>
      </c>
      <c r="D26">
        <v>0</v>
      </c>
      <c r="E26">
        <v>0</v>
      </c>
      <c r="G26">
        <v>0</v>
      </c>
      <c r="H26">
        <v>0</v>
      </c>
      <c r="K26">
        <v>0</v>
      </c>
      <c r="L26">
        <v>3</v>
      </c>
      <c r="O26">
        <v>0</v>
      </c>
      <c r="P26">
        <v>0</v>
      </c>
      <c r="S26">
        <v>0</v>
      </c>
      <c r="T26">
        <v>0</v>
      </c>
    </row>
    <row r="27" spans="1:34" x14ac:dyDescent="0.2">
      <c r="B27">
        <v>0</v>
      </c>
      <c r="C27">
        <v>0</v>
      </c>
      <c r="D27">
        <v>0</v>
      </c>
      <c r="E27">
        <v>0</v>
      </c>
      <c r="G27">
        <v>0</v>
      </c>
      <c r="H27">
        <v>0</v>
      </c>
      <c r="K27">
        <v>0</v>
      </c>
      <c r="L27">
        <v>2</v>
      </c>
      <c r="O27">
        <v>3</v>
      </c>
      <c r="P27">
        <v>0</v>
      </c>
      <c r="S27">
        <v>3</v>
      </c>
      <c r="T27">
        <v>0</v>
      </c>
    </row>
    <row r="28" spans="1:34" x14ac:dyDescent="0.2">
      <c r="B28">
        <v>0</v>
      </c>
      <c r="C28">
        <v>0</v>
      </c>
      <c r="D28">
        <v>0</v>
      </c>
      <c r="E28">
        <v>0</v>
      </c>
      <c r="G28">
        <v>2</v>
      </c>
      <c r="H28">
        <v>1</v>
      </c>
      <c r="K28">
        <v>0</v>
      </c>
      <c r="L28">
        <v>2</v>
      </c>
      <c r="O28">
        <v>20</v>
      </c>
      <c r="P28">
        <v>0</v>
      </c>
      <c r="S28">
        <v>0</v>
      </c>
      <c r="T28">
        <v>20</v>
      </c>
    </row>
    <row r="29" spans="1:34" x14ac:dyDescent="0.2">
      <c r="B29">
        <v>0</v>
      </c>
      <c r="C29">
        <v>0</v>
      </c>
      <c r="D29">
        <v>0</v>
      </c>
      <c r="E29">
        <v>0</v>
      </c>
      <c r="G29">
        <v>3</v>
      </c>
      <c r="H29">
        <v>0</v>
      </c>
      <c r="K29">
        <v>0</v>
      </c>
      <c r="L29">
        <v>1</v>
      </c>
      <c r="O29">
        <v>5</v>
      </c>
      <c r="P29">
        <v>0</v>
      </c>
      <c r="S29">
        <v>3</v>
      </c>
      <c r="T29">
        <v>0</v>
      </c>
    </row>
    <row r="30" spans="1:34" x14ac:dyDescent="0.2">
      <c r="B30">
        <v>0</v>
      </c>
      <c r="C30">
        <v>0</v>
      </c>
      <c r="D30">
        <v>0</v>
      </c>
      <c r="E30">
        <v>0</v>
      </c>
      <c r="G30">
        <v>8</v>
      </c>
      <c r="H30">
        <v>13</v>
      </c>
      <c r="K30">
        <v>0</v>
      </c>
      <c r="L30">
        <v>20</v>
      </c>
      <c r="O30">
        <v>4</v>
      </c>
      <c r="P30">
        <v>4</v>
      </c>
      <c r="S30">
        <v>0</v>
      </c>
      <c r="T30" s="18">
        <v>20</v>
      </c>
      <c r="V30" s="18" t="s">
        <v>118</v>
      </c>
    </row>
    <row r="31" spans="1:34" x14ac:dyDescent="0.2">
      <c r="B31">
        <v>0</v>
      </c>
      <c r="C31">
        <v>0</v>
      </c>
      <c r="D31">
        <v>0</v>
      </c>
      <c r="E31">
        <v>0</v>
      </c>
      <c r="G31">
        <v>0</v>
      </c>
      <c r="H31">
        <v>10</v>
      </c>
      <c r="K31">
        <v>0</v>
      </c>
      <c r="L31">
        <v>20</v>
      </c>
      <c r="O31">
        <v>0</v>
      </c>
      <c r="P31">
        <v>0</v>
      </c>
      <c r="S31">
        <v>1</v>
      </c>
      <c r="T31" s="18">
        <v>20</v>
      </c>
    </row>
    <row r="32" spans="1:34" x14ac:dyDescent="0.2">
      <c r="B32">
        <v>0</v>
      </c>
      <c r="C32">
        <v>0</v>
      </c>
      <c r="D32">
        <v>0</v>
      </c>
      <c r="E32">
        <v>0</v>
      </c>
      <c r="G32">
        <v>14</v>
      </c>
      <c r="H32">
        <v>0</v>
      </c>
      <c r="K32">
        <v>3</v>
      </c>
      <c r="L32">
        <v>4</v>
      </c>
      <c r="O32">
        <v>2</v>
      </c>
      <c r="P32">
        <v>0</v>
      </c>
      <c r="S32">
        <v>0</v>
      </c>
      <c r="T32">
        <v>20</v>
      </c>
    </row>
    <row r="33" spans="2:20" x14ac:dyDescent="0.2">
      <c r="B33" s="1">
        <v>0</v>
      </c>
      <c r="C33" s="1">
        <v>0</v>
      </c>
      <c r="D33">
        <v>0</v>
      </c>
      <c r="E33">
        <v>0</v>
      </c>
      <c r="G33">
        <v>3</v>
      </c>
      <c r="H33">
        <v>0</v>
      </c>
      <c r="K33">
        <v>1</v>
      </c>
      <c r="L33">
        <v>1</v>
      </c>
      <c r="O33">
        <v>6</v>
      </c>
      <c r="P33">
        <v>0</v>
      </c>
      <c r="S33">
        <v>6</v>
      </c>
      <c r="T33">
        <v>0</v>
      </c>
    </row>
    <row r="34" spans="2:20" x14ac:dyDescent="0.2">
      <c r="B34" s="1">
        <v>0</v>
      </c>
      <c r="C34" s="1">
        <v>0</v>
      </c>
      <c r="D34">
        <v>0</v>
      </c>
      <c r="E34">
        <v>1</v>
      </c>
      <c r="G34">
        <v>0</v>
      </c>
      <c r="H34">
        <v>4</v>
      </c>
      <c r="K34">
        <v>0</v>
      </c>
      <c r="L34">
        <v>20</v>
      </c>
      <c r="O34">
        <v>3</v>
      </c>
      <c r="P34">
        <v>2</v>
      </c>
      <c r="S34">
        <v>2</v>
      </c>
      <c r="T34" s="18">
        <v>18</v>
      </c>
    </row>
    <row r="35" spans="2:20" x14ac:dyDescent="0.2">
      <c r="B35" s="3"/>
      <c r="C35" s="3"/>
      <c r="F35" s="3" t="s">
        <v>96</v>
      </c>
      <c r="N35" s="3" t="s">
        <v>96</v>
      </c>
    </row>
    <row r="36" spans="2:20" x14ac:dyDescent="0.2">
      <c r="B36" s="1">
        <v>0</v>
      </c>
      <c r="C36" s="1">
        <v>0</v>
      </c>
      <c r="D36">
        <v>0</v>
      </c>
      <c r="E36">
        <v>0</v>
      </c>
      <c r="G36">
        <v>1</v>
      </c>
      <c r="H36">
        <v>0</v>
      </c>
      <c r="K36">
        <v>0</v>
      </c>
      <c r="L36">
        <v>0</v>
      </c>
      <c r="O36">
        <v>18</v>
      </c>
      <c r="P36">
        <v>0</v>
      </c>
      <c r="S36">
        <v>18</v>
      </c>
      <c r="T36">
        <v>0</v>
      </c>
    </row>
    <row r="37" spans="2:20" x14ac:dyDescent="0.2">
      <c r="B37" s="1">
        <v>0</v>
      </c>
      <c r="C37" s="1">
        <v>0</v>
      </c>
      <c r="D37">
        <v>0</v>
      </c>
      <c r="E37">
        <v>0</v>
      </c>
      <c r="G37">
        <v>0</v>
      </c>
      <c r="H37">
        <v>0</v>
      </c>
      <c r="K37">
        <v>0</v>
      </c>
      <c r="L37">
        <v>1</v>
      </c>
      <c r="O37">
        <v>14</v>
      </c>
      <c r="P37">
        <v>2</v>
      </c>
      <c r="S37">
        <v>13</v>
      </c>
      <c r="T37">
        <v>0</v>
      </c>
    </row>
    <row r="38" spans="2:20" s="3" customFormat="1" x14ac:dyDescent="0.2">
      <c r="B38" s="3">
        <v>20</v>
      </c>
      <c r="C38" s="3">
        <v>0</v>
      </c>
      <c r="D38" s="3">
        <v>20</v>
      </c>
      <c r="E38" s="3">
        <v>0</v>
      </c>
      <c r="G38" s="3">
        <v>20</v>
      </c>
      <c r="H38" s="3">
        <v>0</v>
      </c>
      <c r="K38" s="3">
        <v>20</v>
      </c>
      <c r="L38" s="3">
        <v>0</v>
      </c>
      <c r="O38" s="3">
        <v>20</v>
      </c>
      <c r="P38" s="3">
        <v>0</v>
      </c>
      <c r="S38" s="3">
        <v>20</v>
      </c>
      <c r="T38" s="3">
        <v>0</v>
      </c>
    </row>
    <row r="39" spans="2:20" x14ac:dyDescent="0.2">
      <c r="B39" s="1">
        <v>1</v>
      </c>
      <c r="C39" s="1">
        <v>0</v>
      </c>
      <c r="D39">
        <v>0</v>
      </c>
      <c r="E39">
        <v>1</v>
      </c>
      <c r="G39">
        <v>0</v>
      </c>
      <c r="H39">
        <v>0</v>
      </c>
      <c r="K39">
        <v>0</v>
      </c>
      <c r="L39">
        <v>2</v>
      </c>
      <c r="O39">
        <v>20</v>
      </c>
      <c r="P39">
        <v>0</v>
      </c>
      <c r="S39">
        <v>20</v>
      </c>
      <c r="T39">
        <v>0</v>
      </c>
    </row>
    <row r="40" spans="2:20" x14ac:dyDescent="0.2">
      <c r="B40" s="1">
        <v>0</v>
      </c>
      <c r="C40" s="1">
        <v>0</v>
      </c>
      <c r="D40">
        <v>0</v>
      </c>
      <c r="E40">
        <v>0</v>
      </c>
      <c r="G40">
        <v>0</v>
      </c>
      <c r="H40">
        <v>0</v>
      </c>
      <c r="K40">
        <v>0</v>
      </c>
      <c r="L40">
        <v>0</v>
      </c>
      <c r="O40">
        <v>0</v>
      </c>
      <c r="P40">
        <v>0</v>
      </c>
      <c r="S40" s="18">
        <v>20</v>
      </c>
      <c r="T40">
        <v>0</v>
      </c>
    </row>
    <row r="41" spans="2:20" x14ac:dyDescent="0.2">
      <c r="B41" s="1">
        <v>2</v>
      </c>
      <c r="C41" s="1">
        <v>0</v>
      </c>
      <c r="D41">
        <v>0</v>
      </c>
      <c r="E41">
        <v>3</v>
      </c>
      <c r="G41">
        <v>15</v>
      </c>
      <c r="H41">
        <v>0</v>
      </c>
      <c r="K41">
        <v>0</v>
      </c>
      <c r="L41">
        <v>1</v>
      </c>
      <c r="O41">
        <v>20</v>
      </c>
      <c r="P41">
        <v>0</v>
      </c>
      <c r="S41">
        <v>19</v>
      </c>
      <c r="T41">
        <v>1</v>
      </c>
    </row>
    <row r="42" spans="2:20" x14ac:dyDescent="0.2">
      <c r="B42" s="1">
        <v>0</v>
      </c>
      <c r="C42" s="1">
        <v>0</v>
      </c>
      <c r="D42">
        <v>0</v>
      </c>
      <c r="E42">
        <v>0</v>
      </c>
      <c r="G42">
        <v>20</v>
      </c>
      <c r="H42">
        <v>0</v>
      </c>
      <c r="K42">
        <v>0</v>
      </c>
      <c r="L42">
        <v>0</v>
      </c>
      <c r="O42">
        <v>20</v>
      </c>
      <c r="P42">
        <v>0</v>
      </c>
      <c r="S42">
        <v>19</v>
      </c>
      <c r="T42">
        <v>0</v>
      </c>
    </row>
    <row r="43" spans="2:20" x14ac:dyDescent="0.2">
      <c r="B43" s="1">
        <v>0</v>
      </c>
      <c r="C43" s="1">
        <v>0</v>
      </c>
      <c r="D43">
        <v>0</v>
      </c>
      <c r="E43">
        <v>0</v>
      </c>
      <c r="G43">
        <v>11</v>
      </c>
      <c r="H43">
        <v>0</v>
      </c>
      <c r="K43">
        <v>8</v>
      </c>
      <c r="L43">
        <v>2</v>
      </c>
      <c r="O43">
        <v>20</v>
      </c>
      <c r="P43">
        <v>0</v>
      </c>
      <c r="S43">
        <v>19</v>
      </c>
      <c r="T43">
        <v>1</v>
      </c>
    </row>
    <row r="44" spans="2:20" s="3" customFormat="1" x14ac:dyDescent="0.2">
      <c r="B44" s="3">
        <v>20</v>
      </c>
      <c r="C44" s="3">
        <v>0</v>
      </c>
      <c r="D44" s="3">
        <v>20</v>
      </c>
      <c r="E44" s="3">
        <v>0</v>
      </c>
      <c r="G44" s="3">
        <v>20</v>
      </c>
      <c r="H44" s="3">
        <v>0</v>
      </c>
      <c r="K44" s="3">
        <v>19</v>
      </c>
      <c r="L44" s="3">
        <v>1</v>
      </c>
      <c r="O44" s="3">
        <v>19</v>
      </c>
      <c r="P44" s="3">
        <v>1</v>
      </c>
      <c r="S44" s="3">
        <v>20</v>
      </c>
      <c r="T44" s="3">
        <v>0</v>
      </c>
    </row>
    <row r="45" spans="2:20" s="3" customFormat="1" x14ac:dyDescent="0.2">
      <c r="B45" s="3">
        <v>20</v>
      </c>
      <c r="C45" s="3">
        <v>0</v>
      </c>
      <c r="D45" s="3">
        <v>20</v>
      </c>
      <c r="E45" s="3">
        <v>0</v>
      </c>
      <c r="G45" s="3">
        <v>20</v>
      </c>
      <c r="H45" s="3">
        <v>0</v>
      </c>
      <c r="K45" s="3">
        <v>20</v>
      </c>
      <c r="L45" s="3">
        <v>0</v>
      </c>
      <c r="O45" s="3">
        <v>20</v>
      </c>
      <c r="P45" s="3">
        <v>0</v>
      </c>
      <c r="S45" s="3">
        <v>20</v>
      </c>
      <c r="T45" s="3">
        <v>0</v>
      </c>
    </row>
    <row r="46" spans="2:20" s="3" customFormat="1" x14ac:dyDescent="0.2">
      <c r="B46" s="3">
        <v>20</v>
      </c>
      <c r="C46" s="3">
        <v>0</v>
      </c>
      <c r="D46" s="3">
        <v>20</v>
      </c>
      <c r="E46" s="3">
        <v>0</v>
      </c>
      <c r="G46" s="3">
        <v>20</v>
      </c>
      <c r="H46" s="3">
        <v>0</v>
      </c>
      <c r="K46" s="3">
        <v>20</v>
      </c>
      <c r="L46" s="3">
        <v>0</v>
      </c>
      <c r="O46" s="3">
        <v>20</v>
      </c>
      <c r="P46" s="3">
        <v>0</v>
      </c>
      <c r="S46" s="3">
        <v>20</v>
      </c>
      <c r="T46" s="3">
        <v>0</v>
      </c>
    </row>
    <row r="47" spans="2:20" x14ac:dyDescent="0.2">
      <c r="B47" s="17">
        <v>0</v>
      </c>
      <c r="C47" s="17">
        <v>0</v>
      </c>
      <c r="D47" s="17">
        <v>0</v>
      </c>
      <c r="E47" s="17">
        <v>0</v>
      </c>
      <c r="G47" s="17">
        <v>0</v>
      </c>
      <c r="H47">
        <v>0</v>
      </c>
      <c r="I47" s="17"/>
      <c r="J47" s="17"/>
      <c r="K47" s="17">
        <v>0</v>
      </c>
      <c r="L47" s="17">
        <v>2</v>
      </c>
      <c r="M47" s="3"/>
      <c r="O47">
        <v>0</v>
      </c>
      <c r="P47">
        <v>0</v>
      </c>
      <c r="Q47" s="17"/>
      <c r="R47" s="17"/>
      <c r="S47" s="20">
        <v>20</v>
      </c>
      <c r="T47" s="17">
        <v>0</v>
      </c>
    </row>
    <row r="48" spans="2:20" s="3" customFormat="1" x14ac:dyDescent="0.2">
      <c r="B48" s="3">
        <v>20</v>
      </c>
      <c r="C48" s="3">
        <v>0</v>
      </c>
      <c r="D48" s="3">
        <v>20</v>
      </c>
      <c r="E48" s="3">
        <v>0</v>
      </c>
      <c r="G48" s="3">
        <v>20</v>
      </c>
      <c r="H48" s="3">
        <v>0</v>
      </c>
      <c r="K48" s="3">
        <v>20</v>
      </c>
      <c r="L48" s="3">
        <v>0</v>
      </c>
      <c r="O48" s="3">
        <v>20</v>
      </c>
      <c r="P48" s="3">
        <v>0</v>
      </c>
      <c r="S48" s="3">
        <v>20</v>
      </c>
      <c r="T48" s="3">
        <v>0</v>
      </c>
    </row>
    <row r="49" spans="1:20" x14ac:dyDescent="0.2">
      <c r="B49" s="1">
        <v>0</v>
      </c>
      <c r="C49" s="1">
        <v>0</v>
      </c>
      <c r="D49" s="17">
        <v>0</v>
      </c>
      <c r="E49" s="17">
        <v>0</v>
      </c>
      <c r="G49">
        <v>3</v>
      </c>
      <c r="H49">
        <v>0</v>
      </c>
      <c r="I49" s="17"/>
      <c r="J49" s="17"/>
      <c r="K49" s="17">
        <v>1</v>
      </c>
      <c r="L49" s="17">
        <v>1</v>
      </c>
      <c r="M49" s="3"/>
      <c r="O49" s="17">
        <v>20</v>
      </c>
      <c r="P49" s="17">
        <v>0</v>
      </c>
      <c r="Q49" s="17"/>
      <c r="R49" s="17"/>
      <c r="S49" s="3">
        <v>0</v>
      </c>
      <c r="T49" s="3">
        <v>20</v>
      </c>
    </row>
    <row r="50" spans="1:20" s="3" customFormat="1" x14ac:dyDescent="0.2">
      <c r="B50" s="3">
        <v>20</v>
      </c>
      <c r="C50" s="3">
        <v>0</v>
      </c>
      <c r="D50" s="3">
        <v>19</v>
      </c>
      <c r="E50" s="3">
        <v>1</v>
      </c>
      <c r="G50" s="3">
        <v>20</v>
      </c>
      <c r="H50" s="3">
        <v>0</v>
      </c>
      <c r="K50" s="3">
        <v>20</v>
      </c>
      <c r="L50" s="3">
        <v>0</v>
      </c>
      <c r="O50" s="3">
        <v>20</v>
      </c>
      <c r="P50" s="3">
        <v>0</v>
      </c>
      <c r="S50" s="3">
        <v>20</v>
      </c>
      <c r="T50" s="3">
        <v>0</v>
      </c>
    </row>
    <row r="51" spans="1:20" x14ac:dyDescent="0.2">
      <c r="B51" s="1">
        <v>1</v>
      </c>
      <c r="C51" s="1">
        <v>0</v>
      </c>
      <c r="D51" s="17">
        <v>0</v>
      </c>
      <c r="E51" s="17">
        <v>1</v>
      </c>
      <c r="G51">
        <v>0</v>
      </c>
      <c r="H51">
        <v>0</v>
      </c>
      <c r="I51" s="17"/>
      <c r="J51" s="17"/>
      <c r="K51" s="17">
        <v>0</v>
      </c>
      <c r="L51" s="17">
        <v>1</v>
      </c>
      <c r="M51" s="3"/>
      <c r="O51">
        <v>20</v>
      </c>
      <c r="P51">
        <v>0</v>
      </c>
      <c r="Q51" s="3"/>
      <c r="R51" s="3"/>
      <c r="S51">
        <v>20</v>
      </c>
      <c r="T51">
        <v>0</v>
      </c>
    </row>
    <row r="52" spans="1:20" x14ac:dyDescent="0.2">
      <c r="A52" s="3" t="s">
        <v>147</v>
      </c>
      <c r="B52" s="1"/>
      <c r="C52" s="1"/>
      <c r="D52" s="17"/>
      <c r="E52" s="17"/>
      <c r="F52" s="3" t="s">
        <v>147</v>
      </c>
      <c r="I52" s="17"/>
      <c r="J52" s="17"/>
      <c r="K52" s="17"/>
      <c r="L52" s="17"/>
      <c r="M52" s="3"/>
      <c r="N52" s="3" t="s">
        <v>147</v>
      </c>
      <c r="Q52" s="3"/>
      <c r="R52" s="3"/>
      <c r="T52">
        <v>0</v>
      </c>
    </row>
    <row r="53" spans="1:20" x14ac:dyDescent="0.2">
      <c r="B53" s="1">
        <v>0</v>
      </c>
      <c r="C53" s="1">
        <v>0</v>
      </c>
      <c r="D53" s="6">
        <v>0</v>
      </c>
      <c r="E53" s="17">
        <v>0</v>
      </c>
      <c r="G53">
        <v>0</v>
      </c>
      <c r="H53">
        <v>0</v>
      </c>
      <c r="I53" s="17"/>
      <c r="J53" s="17"/>
      <c r="K53" s="6">
        <v>0</v>
      </c>
      <c r="L53" s="17">
        <v>0</v>
      </c>
      <c r="M53" s="3"/>
      <c r="O53">
        <v>0</v>
      </c>
      <c r="P53">
        <v>0</v>
      </c>
      <c r="Q53" s="3"/>
      <c r="R53" s="3"/>
      <c r="S53" s="6">
        <v>0</v>
      </c>
      <c r="T53">
        <v>0</v>
      </c>
    </row>
    <row r="54" spans="1:20" x14ac:dyDescent="0.2">
      <c r="B54" s="1">
        <v>0</v>
      </c>
      <c r="C54" s="1">
        <v>0</v>
      </c>
      <c r="D54" s="6">
        <v>0</v>
      </c>
      <c r="E54" s="17">
        <v>0</v>
      </c>
      <c r="G54">
        <v>0</v>
      </c>
      <c r="H54">
        <v>0</v>
      </c>
      <c r="I54" s="17"/>
      <c r="J54" s="17"/>
      <c r="K54" s="6">
        <v>0</v>
      </c>
      <c r="L54" s="17">
        <v>0</v>
      </c>
      <c r="M54" s="3"/>
      <c r="O54">
        <v>0</v>
      </c>
      <c r="P54">
        <v>0</v>
      </c>
      <c r="Q54" s="3"/>
      <c r="R54" s="3"/>
      <c r="S54" s="6">
        <v>0</v>
      </c>
      <c r="T54">
        <v>0</v>
      </c>
    </row>
    <row r="55" spans="1:20" x14ac:dyDescent="0.2">
      <c r="B55" s="3">
        <v>0</v>
      </c>
      <c r="C55" s="1">
        <v>0</v>
      </c>
      <c r="D55" s="6">
        <v>0</v>
      </c>
      <c r="E55" s="17">
        <v>0</v>
      </c>
      <c r="G55" s="3">
        <v>0</v>
      </c>
      <c r="H55">
        <v>0</v>
      </c>
      <c r="I55" s="17"/>
      <c r="J55" s="17"/>
      <c r="K55" s="6">
        <v>0</v>
      </c>
      <c r="L55" s="17">
        <v>0</v>
      </c>
      <c r="M55" s="3"/>
      <c r="O55">
        <v>20</v>
      </c>
      <c r="P55">
        <v>0</v>
      </c>
      <c r="Q55" s="3"/>
      <c r="R55" s="3"/>
      <c r="S55" s="5">
        <v>20</v>
      </c>
      <c r="T55">
        <v>0</v>
      </c>
    </row>
    <row r="56" spans="1:20" x14ac:dyDescent="0.2">
      <c r="B56" s="1">
        <v>0</v>
      </c>
      <c r="C56" s="1">
        <v>0</v>
      </c>
      <c r="D56" s="6">
        <v>0</v>
      </c>
      <c r="E56" s="17">
        <v>0</v>
      </c>
      <c r="G56">
        <v>0</v>
      </c>
      <c r="H56">
        <v>0</v>
      </c>
      <c r="I56" s="17"/>
      <c r="J56" s="17"/>
      <c r="K56" s="6">
        <v>0</v>
      </c>
      <c r="L56" s="17">
        <v>0</v>
      </c>
      <c r="M56" s="3"/>
      <c r="O56">
        <v>0</v>
      </c>
      <c r="P56">
        <v>0</v>
      </c>
      <c r="Q56" s="3"/>
      <c r="R56" s="3"/>
      <c r="S56" s="6">
        <v>0</v>
      </c>
      <c r="T56">
        <v>0</v>
      </c>
    </row>
    <row r="57" spans="1:20" x14ac:dyDescent="0.2">
      <c r="B57" s="1">
        <v>0</v>
      </c>
      <c r="C57" s="1">
        <v>0</v>
      </c>
      <c r="D57" s="6">
        <v>0</v>
      </c>
      <c r="E57" s="17">
        <v>0</v>
      </c>
      <c r="G57">
        <v>0</v>
      </c>
      <c r="H57">
        <v>0</v>
      </c>
      <c r="I57" s="17"/>
      <c r="J57" s="17"/>
      <c r="K57" s="6">
        <v>0</v>
      </c>
      <c r="L57" s="17">
        <v>0</v>
      </c>
      <c r="M57" s="3"/>
      <c r="O57">
        <v>0</v>
      </c>
      <c r="P57">
        <v>0</v>
      </c>
      <c r="Q57" s="3"/>
      <c r="R57" s="3"/>
      <c r="S57" s="6">
        <v>0</v>
      </c>
      <c r="T57">
        <v>0</v>
      </c>
    </row>
    <row r="58" spans="1:20" x14ac:dyDescent="0.2">
      <c r="B58" s="1">
        <v>0</v>
      </c>
      <c r="C58" s="1">
        <v>0</v>
      </c>
      <c r="D58" s="6">
        <v>0</v>
      </c>
      <c r="E58" s="17">
        <v>0</v>
      </c>
      <c r="G58" s="3">
        <v>0</v>
      </c>
      <c r="H58">
        <v>0</v>
      </c>
      <c r="I58" s="17"/>
      <c r="J58" s="17"/>
      <c r="K58" s="6">
        <v>0</v>
      </c>
      <c r="L58" s="17">
        <v>0</v>
      </c>
      <c r="M58" s="3"/>
      <c r="O58">
        <v>0</v>
      </c>
      <c r="P58">
        <v>0</v>
      </c>
      <c r="Q58" s="3"/>
      <c r="R58" s="3"/>
      <c r="S58" s="6">
        <v>0</v>
      </c>
      <c r="T58">
        <v>0</v>
      </c>
    </row>
    <row r="59" spans="1:20" x14ac:dyDescent="0.2">
      <c r="B59" s="1">
        <v>0</v>
      </c>
      <c r="C59" s="1">
        <v>0</v>
      </c>
      <c r="D59" s="6">
        <v>0</v>
      </c>
      <c r="E59" s="17">
        <v>0</v>
      </c>
      <c r="G59">
        <v>0</v>
      </c>
      <c r="H59">
        <v>0</v>
      </c>
      <c r="I59" s="17"/>
      <c r="J59" s="17"/>
      <c r="K59" s="6">
        <v>0</v>
      </c>
      <c r="L59" s="17">
        <v>0</v>
      </c>
      <c r="M59" s="3"/>
      <c r="O59">
        <v>0</v>
      </c>
      <c r="P59">
        <v>0</v>
      </c>
      <c r="Q59" s="3"/>
      <c r="R59" s="3"/>
      <c r="S59" s="6">
        <v>0</v>
      </c>
      <c r="T59">
        <v>0</v>
      </c>
    </row>
    <row r="60" spans="1:20" x14ac:dyDescent="0.2">
      <c r="B60" s="1">
        <v>0</v>
      </c>
      <c r="C60" s="1">
        <v>0</v>
      </c>
      <c r="D60" s="6">
        <v>0</v>
      </c>
      <c r="E60" s="17">
        <v>0</v>
      </c>
      <c r="G60">
        <v>20</v>
      </c>
      <c r="H60">
        <v>0</v>
      </c>
      <c r="I60" s="17"/>
      <c r="J60" s="17"/>
      <c r="K60" s="6">
        <v>2</v>
      </c>
      <c r="L60" s="17">
        <v>0</v>
      </c>
      <c r="M60" s="3"/>
      <c r="O60">
        <v>0</v>
      </c>
      <c r="P60">
        <v>0</v>
      </c>
      <c r="Q60" s="3"/>
      <c r="R60" s="3"/>
      <c r="S60" s="6">
        <v>0</v>
      </c>
      <c r="T60">
        <v>0</v>
      </c>
    </row>
    <row r="61" spans="1:20" x14ac:dyDescent="0.2">
      <c r="B61" s="3">
        <v>0</v>
      </c>
      <c r="C61" s="1">
        <v>0</v>
      </c>
      <c r="D61" s="6">
        <v>0</v>
      </c>
      <c r="E61" s="17">
        <v>0</v>
      </c>
      <c r="G61" s="3">
        <v>0</v>
      </c>
      <c r="H61">
        <v>0</v>
      </c>
      <c r="I61" s="17"/>
      <c r="J61" s="17"/>
      <c r="K61" s="6">
        <v>0</v>
      </c>
      <c r="L61" s="17">
        <v>0</v>
      </c>
      <c r="M61" s="3"/>
      <c r="O61">
        <v>0</v>
      </c>
      <c r="P61">
        <v>0</v>
      </c>
      <c r="Q61" s="3"/>
      <c r="R61" s="3"/>
      <c r="S61" s="6">
        <v>0</v>
      </c>
      <c r="T61">
        <v>0</v>
      </c>
    </row>
    <row r="62" spans="1:20" x14ac:dyDescent="0.2">
      <c r="B62" s="1">
        <v>0</v>
      </c>
      <c r="C62" s="1">
        <v>0</v>
      </c>
      <c r="D62" s="6">
        <v>0</v>
      </c>
      <c r="E62" s="17">
        <v>0</v>
      </c>
      <c r="G62">
        <v>0</v>
      </c>
      <c r="H62">
        <v>0</v>
      </c>
      <c r="I62" s="17"/>
      <c r="J62" s="17"/>
      <c r="K62" s="6">
        <v>0</v>
      </c>
      <c r="L62" s="17">
        <v>0</v>
      </c>
      <c r="M62" s="3"/>
      <c r="O62">
        <v>0</v>
      </c>
      <c r="P62">
        <v>0</v>
      </c>
      <c r="Q62" s="3"/>
      <c r="R62" s="3"/>
      <c r="S62" s="6">
        <v>0</v>
      </c>
      <c r="T62">
        <v>0</v>
      </c>
    </row>
    <row r="63" spans="1:20" x14ac:dyDescent="0.2">
      <c r="B63" s="1">
        <v>0</v>
      </c>
      <c r="C63" s="1">
        <v>0</v>
      </c>
      <c r="D63" s="6">
        <v>0</v>
      </c>
      <c r="E63" s="17">
        <v>0</v>
      </c>
      <c r="G63">
        <v>0</v>
      </c>
      <c r="H63">
        <v>0</v>
      </c>
      <c r="I63" s="17"/>
      <c r="J63" s="17"/>
      <c r="K63" s="6">
        <v>0</v>
      </c>
      <c r="L63" s="17">
        <v>0</v>
      </c>
      <c r="M63" s="3"/>
      <c r="O63">
        <v>0</v>
      </c>
      <c r="P63">
        <v>0</v>
      </c>
      <c r="Q63" s="3"/>
      <c r="R63" s="3"/>
      <c r="S63" s="6">
        <v>0</v>
      </c>
      <c r="T63">
        <v>0</v>
      </c>
    </row>
    <row r="64" spans="1:20" x14ac:dyDescent="0.2">
      <c r="B64" s="1">
        <v>0</v>
      </c>
      <c r="C64" s="1">
        <v>0</v>
      </c>
      <c r="D64" s="6">
        <v>0</v>
      </c>
      <c r="E64" s="17">
        <v>0</v>
      </c>
      <c r="G64">
        <v>0</v>
      </c>
      <c r="H64">
        <v>0</v>
      </c>
      <c r="I64" s="17"/>
      <c r="J64" s="17"/>
      <c r="K64" s="6">
        <v>0</v>
      </c>
      <c r="L64" s="17">
        <v>0</v>
      </c>
      <c r="M64" s="3"/>
      <c r="O64">
        <v>0</v>
      </c>
      <c r="P64">
        <v>0</v>
      </c>
      <c r="Q64" s="3"/>
      <c r="R64" s="3"/>
      <c r="S64" s="6">
        <v>0</v>
      </c>
      <c r="T64">
        <v>0</v>
      </c>
    </row>
    <row r="65" spans="2:20" x14ac:dyDescent="0.2">
      <c r="B65" s="1">
        <v>0</v>
      </c>
      <c r="C65" s="1">
        <v>0</v>
      </c>
      <c r="D65" s="6">
        <v>0</v>
      </c>
      <c r="E65" s="17">
        <v>0</v>
      </c>
      <c r="G65">
        <v>0</v>
      </c>
      <c r="H65">
        <v>0</v>
      </c>
      <c r="I65" s="17"/>
      <c r="J65" s="17"/>
      <c r="K65" s="6">
        <v>0</v>
      </c>
      <c r="L65" s="17">
        <v>0</v>
      </c>
      <c r="M65" s="3"/>
      <c r="O65">
        <v>0</v>
      </c>
      <c r="P65">
        <v>0</v>
      </c>
      <c r="Q65" s="3"/>
      <c r="R65" s="3"/>
      <c r="S65" s="6">
        <v>1</v>
      </c>
      <c r="T65">
        <v>0</v>
      </c>
    </row>
    <row r="66" spans="2:20" x14ac:dyDescent="0.2">
      <c r="B66" s="1">
        <v>0</v>
      </c>
      <c r="C66" s="1">
        <v>0</v>
      </c>
      <c r="D66" s="6">
        <v>0</v>
      </c>
      <c r="E66" s="17">
        <v>0</v>
      </c>
      <c r="G66">
        <v>0</v>
      </c>
      <c r="H66">
        <v>0</v>
      </c>
      <c r="I66" s="17"/>
      <c r="J66" s="17"/>
      <c r="K66" s="6">
        <v>0</v>
      </c>
      <c r="L66" s="17">
        <v>0</v>
      </c>
      <c r="M66" s="3"/>
      <c r="O66">
        <v>15</v>
      </c>
      <c r="P66">
        <v>0</v>
      </c>
      <c r="Q66" s="3"/>
      <c r="R66" s="3"/>
      <c r="S66" s="6">
        <v>14</v>
      </c>
      <c r="T66">
        <v>0</v>
      </c>
    </row>
    <row r="67" spans="2:20" x14ac:dyDescent="0.2">
      <c r="B67" s="1">
        <v>0</v>
      </c>
      <c r="C67" s="1">
        <v>0</v>
      </c>
      <c r="D67" s="6">
        <v>0</v>
      </c>
      <c r="E67" s="17">
        <v>0</v>
      </c>
      <c r="G67">
        <v>0</v>
      </c>
      <c r="H67">
        <v>0</v>
      </c>
      <c r="I67" s="17"/>
      <c r="J67" s="17"/>
      <c r="K67" s="6">
        <v>0</v>
      </c>
      <c r="L67" s="17">
        <v>0</v>
      </c>
      <c r="M67" s="3"/>
      <c r="O67">
        <v>0</v>
      </c>
      <c r="P67">
        <v>0</v>
      </c>
      <c r="Q67" s="3"/>
      <c r="R67" s="3"/>
      <c r="S67" s="6">
        <v>0</v>
      </c>
      <c r="T67">
        <v>0</v>
      </c>
    </row>
    <row r="68" spans="2:20" x14ac:dyDescent="0.2">
      <c r="B68" s="1">
        <v>0</v>
      </c>
      <c r="C68" s="1">
        <v>0</v>
      </c>
      <c r="D68" s="6">
        <v>0</v>
      </c>
      <c r="E68" s="17">
        <v>0</v>
      </c>
      <c r="G68" s="3">
        <v>2</v>
      </c>
      <c r="H68">
        <v>0</v>
      </c>
      <c r="I68" s="17"/>
      <c r="J68" s="17"/>
      <c r="K68" s="6">
        <v>2</v>
      </c>
      <c r="L68" s="17">
        <v>0</v>
      </c>
      <c r="M68" s="3"/>
      <c r="O68">
        <v>3</v>
      </c>
      <c r="P68">
        <v>0</v>
      </c>
      <c r="Q68" s="3"/>
      <c r="R68" s="3"/>
      <c r="S68" s="6">
        <v>6</v>
      </c>
      <c r="T68">
        <v>0</v>
      </c>
    </row>
    <row r="69" spans="2:20" x14ac:dyDescent="0.2">
      <c r="B69" s="1">
        <v>0</v>
      </c>
      <c r="C69" s="1">
        <v>0</v>
      </c>
      <c r="D69" s="6">
        <v>0</v>
      </c>
      <c r="E69" s="17">
        <v>0</v>
      </c>
      <c r="G69">
        <v>0</v>
      </c>
      <c r="H69">
        <v>0</v>
      </c>
      <c r="I69" s="17"/>
      <c r="J69" s="17"/>
      <c r="K69" s="6">
        <v>0</v>
      </c>
      <c r="L69" s="17">
        <v>0</v>
      </c>
      <c r="M69" s="3"/>
      <c r="O69">
        <v>20</v>
      </c>
      <c r="P69">
        <v>0</v>
      </c>
      <c r="Q69" s="3"/>
      <c r="R69" s="3"/>
      <c r="S69" s="6">
        <v>14</v>
      </c>
      <c r="T69">
        <v>0</v>
      </c>
    </row>
    <row r="70" spans="2:20" x14ac:dyDescent="0.2">
      <c r="B70" s="1">
        <v>0</v>
      </c>
      <c r="C70" s="1">
        <v>0</v>
      </c>
      <c r="D70" s="6">
        <v>0</v>
      </c>
      <c r="E70" s="17">
        <v>0</v>
      </c>
      <c r="G70">
        <v>0</v>
      </c>
      <c r="H70">
        <v>0</v>
      </c>
      <c r="I70" s="17"/>
      <c r="J70" s="17"/>
      <c r="K70" s="6">
        <v>0</v>
      </c>
      <c r="L70" s="17">
        <v>0</v>
      </c>
      <c r="M70" s="3"/>
      <c r="O70" s="1">
        <v>0</v>
      </c>
      <c r="P70" s="1">
        <v>0</v>
      </c>
      <c r="Q70" s="3"/>
      <c r="R70" s="3"/>
      <c r="S70" s="6">
        <v>0</v>
      </c>
      <c r="T70">
        <v>0</v>
      </c>
    </row>
    <row r="71" spans="2:20" x14ac:dyDescent="0.2">
      <c r="B71" s="3">
        <v>0</v>
      </c>
      <c r="C71" s="1">
        <v>0</v>
      </c>
      <c r="D71" s="6">
        <v>0</v>
      </c>
      <c r="E71" s="17">
        <v>0</v>
      </c>
      <c r="G71" s="3">
        <v>0</v>
      </c>
      <c r="H71">
        <v>0</v>
      </c>
      <c r="I71" s="17"/>
      <c r="J71" s="17"/>
      <c r="K71" s="6">
        <v>0</v>
      </c>
      <c r="L71" s="17">
        <v>0</v>
      </c>
      <c r="M71" s="3"/>
      <c r="O71" s="1">
        <v>0</v>
      </c>
      <c r="P71" s="1">
        <v>0</v>
      </c>
      <c r="Q71" s="3"/>
      <c r="R71" s="3"/>
      <c r="S71" s="6">
        <v>0</v>
      </c>
      <c r="T71">
        <v>0</v>
      </c>
    </row>
    <row r="72" spans="2:20" x14ac:dyDescent="0.2">
      <c r="B72" s="1">
        <v>0</v>
      </c>
      <c r="C72" s="1">
        <v>1</v>
      </c>
      <c r="D72" s="6">
        <v>0</v>
      </c>
      <c r="E72" s="17">
        <v>0</v>
      </c>
      <c r="G72">
        <v>0</v>
      </c>
      <c r="H72">
        <v>0</v>
      </c>
      <c r="I72" s="17"/>
      <c r="J72" s="17"/>
      <c r="K72" s="6">
        <v>0</v>
      </c>
      <c r="L72" s="17">
        <v>0</v>
      </c>
      <c r="M72" s="3"/>
      <c r="O72" s="1">
        <v>0</v>
      </c>
      <c r="P72" s="1">
        <v>0</v>
      </c>
      <c r="Q72" s="3"/>
      <c r="R72" s="3"/>
      <c r="S72" s="6">
        <v>0</v>
      </c>
      <c r="T72">
        <v>0</v>
      </c>
    </row>
    <row r="73" spans="2:20" x14ac:dyDescent="0.2">
      <c r="B73" s="1">
        <v>0</v>
      </c>
      <c r="C73" s="1">
        <v>0</v>
      </c>
      <c r="D73" s="6">
        <v>0</v>
      </c>
      <c r="E73" s="17">
        <v>0</v>
      </c>
      <c r="G73" s="3">
        <v>0</v>
      </c>
      <c r="H73">
        <v>0</v>
      </c>
      <c r="I73" s="17"/>
      <c r="J73" s="17"/>
      <c r="K73" s="6">
        <v>0</v>
      </c>
      <c r="L73" s="17">
        <v>0</v>
      </c>
      <c r="M73" s="3"/>
      <c r="O73" s="1">
        <v>0</v>
      </c>
      <c r="P73" s="1">
        <v>0</v>
      </c>
      <c r="Q73" s="3"/>
      <c r="R73" s="3"/>
      <c r="S73" s="6">
        <v>0</v>
      </c>
      <c r="T73">
        <v>0</v>
      </c>
    </row>
    <row r="74" spans="2:20" x14ac:dyDescent="0.2">
      <c r="B74" s="1">
        <v>0</v>
      </c>
      <c r="C74" s="1">
        <v>0</v>
      </c>
      <c r="D74" s="6">
        <v>0</v>
      </c>
      <c r="E74" s="17">
        <v>0</v>
      </c>
      <c r="G74">
        <v>0</v>
      </c>
      <c r="H74">
        <v>0</v>
      </c>
      <c r="I74" s="17"/>
      <c r="J74" s="17"/>
      <c r="K74" s="6">
        <v>0</v>
      </c>
      <c r="L74" s="17">
        <v>0</v>
      </c>
      <c r="M74" s="3"/>
      <c r="O74" s="1">
        <v>0</v>
      </c>
      <c r="P74" s="1">
        <v>0</v>
      </c>
      <c r="Q74" s="3"/>
      <c r="R74" s="3"/>
      <c r="S74" s="6">
        <v>0</v>
      </c>
      <c r="T74">
        <v>0</v>
      </c>
    </row>
    <row r="75" spans="2:20" x14ac:dyDescent="0.2">
      <c r="B75" s="3">
        <v>0</v>
      </c>
      <c r="C75" s="1">
        <v>0</v>
      </c>
      <c r="D75" s="6">
        <v>0</v>
      </c>
      <c r="E75" s="17">
        <v>0</v>
      </c>
      <c r="G75" s="3">
        <v>0</v>
      </c>
      <c r="H75">
        <v>0</v>
      </c>
      <c r="I75" s="17"/>
      <c r="J75" s="17"/>
      <c r="K75" s="6">
        <v>0</v>
      </c>
      <c r="L75" s="17">
        <v>0</v>
      </c>
      <c r="M75" s="3"/>
      <c r="O75" s="1">
        <v>0</v>
      </c>
      <c r="P75" s="1">
        <v>0</v>
      </c>
      <c r="Q75" s="3"/>
      <c r="R75" s="3"/>
      <c r="S75" s="6">
        <v>0</v>
      </c>
      <c r="T75">
        <v>0</v>
      </c>
    </row>
    <row r="76" spans="2:20" x14ac:dyDescent="0.2">
      <c r="B76" s="1">
        <v>0</v>
      </c>
      <c r="C76" s="1">
        <v>0</v>
      </c>
      <c r="D76" s="6">
        <v>0</v>
      </c>
      <c r="E76" s="17">
        <v>0</v>
      </c>
      <c r="G76">
        <v>0</v>
      </c>
      <c r="H76">
        <v>0</v>
      </c>
      <c r="I76" s="17"/>
      <c r="J76" s="17"/>
      <c r="K76" s="6">
        <v>0</v>
      </c>
      <c r="L76" s="17">
        <v>0</v>
      </c>
      <c r="M76" s="3"/>
      <c r="O76" s="1">
        <v>0</v>
      </c>
      <c r="P76" s="1">
        <v>0</v>
      </c>
      <c r="Q76" s="3"/>
      <c r="R76" s="3"/>
      <c r="S76" s="6">
        <v>0</v>
      </c>
      <c r="T76">
        <v>0</v>
      </c>
    </row>
    <row r="77" spans="2:20" x14ac:dyDescent="0.2">
      <c r="B77" s="1">
        <v>0</v>
      </c>
      <c r="C77" s="1">
        <v>0</v>
      </c>
      <c r="D77" s="6">
        <v>0</v>
      </c>
      <c r="E77" s="17">
        <v>0</v>
      </c>
      <c r="G77" s="3">
        <v>0</v>
      </c>
      <c r="H77">
        <v>0</v>
      </c>
      <c r="I77" s="17"/>
      <c r="J77" s="17"/>
      <c r="K77" s="6">
        <v>0</v>
      </c>
      <c r="L77" s="17">
        <v>0</v>
      </c>
      <c r="M77" s="3"/>
      <c r="O77" s="1">
        <v>0</v>
      </c>
      <c r="P77" s="1">
        <v>0</v>
      </c>
      <c r="Q77" s="3"/>
      <c r="R77" s="3"/>
      <c r="S77" s="6">
        <v>0</v>
      </c>
      <c r="T77">
        <v>0</v>
      </c>
    </row>
    <row r="78" spans="2:20" x14ac:dyDescent="0.2">
      <c r="B78" s="1">
        <v>0</v>
      </c>
      <c r="C78" s="1">
        <v>0</v>
      </c>
      <c r="D78" s="6">
        <v>0</v>
      </c>
      <c r="E78" s="17">
        <v>0</v>
      </c>
      <c r="G78">
        <v>0</v>
      </c>
      <c r="H78">
        <v>0</v>
      </c>
      <c r="I78" s="17"/>
      <c r="J78" s="17"/>
      <c r="K78" s="6">
        <v>0</v>
      </c>
      <c r="L78" s="17">
        <v>0</v>
      </c>
      <c r="M78" s="3"/>
      <c r="O78" s="1">
        <v>0</v>
      </c>
      <c r="P78" s="1">
        <v>0</v>
      </c>
      <c r="Q78" s="3"/>
      <c r="R78" s="3"/>
      <c r="S78" s="6">
        <v>0</v>
      </c>
      <c r="T78">
        <v>0</v>
      </c>
    </row>
    <row r="79" spans="2:20" x14ac:dyDescent="0.2">
      <c r="B79" s="1">
        <v>0</v>
      </c>
      <c r="C79" s="1">
        <v>0</v>
      </c>
      <c r="D79" s="6">
        <v>0</v>
      </c>
      <c r="E79" s="17">
        <v>0</v>
      </c>
      <c r="G79">
        <v>2</v>
      </c>
      <c r="H79">
        <v>0</v>
      </c>
      <c r="I79" s="17"/>
      <c r="J79" s="17"/>
      <c r="K79" s="6">
        <v>0</v>
      </c>
      <c r="L79" s="17">
        <v>0</v>
      </c>
      <c r="M79" s="3"/>
      <c r="O79" s="3">
        <v>0</v>
      </c>
      <c r="P79" s="1">
        <v>0</v>
      </c>
      <c r="Q79" s="3"/>
      <c r="R79" s="3"/>
      <c r="S79" s="6">
        <v>0</v>
      </c>
      <c r="T79">
        <v>0</v>
      </c>
    </row>
    <row r="80" spans="2:20" x14ac:dyDescent="0.2">
      <c r="B80" s="1">
        <v>0</v>
      </c>
      <c r="C80" s="1">
        <v>0</v>
      </c>
      <c r="D80" s="6">
        <v>0</v>
      </c>
      <c r="E80" s="17">
        <v>0</v>
      </c>
      <c r="G80">
        <v>0</v>
      </c>
      <c r="H80">
        <v>0</v>
      </c>
      <c r="K80" s="6">
        <v>0</v>
      </c>
      <c r="L80" s="17">
        <v>0</v>
      </c>
      <c r="O80" s="1">
        <v>0</v>
      </c>
      <c r="P80" s="1">
        <v>0</v>
      </c>
      <c r="S80" s="6">
        <v>0</v>
      </c>
      <c r="T80">
        <v>0</v>
      </c>
    </row>
    <row r="81" spans="1:40" x14ac:dyDescent="0.2">
      <c r="B81">
        <v>20</v>
      </c>
      <c r="C81">
        <v>0</v>
      </c>
      <c r="D81" s="6">
        <v>0</v>
      </c>
      <c r="E81" s="17">
        <v>0</v>
      </c>
      <c r="G81">
        <v>20</v>
      </c>
      <c r="H81">
        <v>0</v>
      </c>
      <c r="K81" s="6">
        <v>20</v>
      </c>
      <c r="L81" s="17">
        <v>0</v>
      </c>
      <c r="O81" s="1">
        <v>18</v>
      </c>
      <c r="P81" s="1">
        <v>0</v>
      </c>
      <c r="S81" s="6">
        <v>12</v>
      </c>
      <c r="T81">
        <v>0</v>
      </c>
    </row>
    <row r="83" spans="1:40" x14ac:dyDescent="0.2">
      <c r="B83">
        <f t="shared" ref="B83:C83" si="0">SUM(B53:B82)</f>
        <v>20</v>
      </c>
      <c r="C83">
        <f t="shared" si="0"/>
        <v>1</v>
      </c>
      <c r="D83">
        <f>SUM(D53:D82)</f>
        <v>0</v>
      </c>
      <c r="E83">
        <f>SUM(E53:E82)</f>
        <v>0</v>
      </c>
      <c r="G83">
        <f t="shared" ref="G83:H83" si="1">SUM(G53:G82)</f>
        <v>44</v>
      </c>
      <c r="H83">
        <f t="shared" si="1"/>
        <v>0</v>
      </c>
      <c r="K83">
        <f>SUM(K53:K82)</f>
        <v>24</v>
      </c>
      <c r="L83">
        <f>SUM(L53:L82)</f>
        <v>0</v>
      </c>
      <c r="O83">
        <f t="shared" ref="O83:R83" si="2">SUM(O53:O82)</f>
        <v>76</v>
      </c>
      <c r="P83">
        <f t="shared" si="2"/>
        <v>0</v>
      </c>
      <c r="Q83">
        <f t="shared" si="2"/>
        <v>0</v>
      </c>
      <c r="R83">
        <f t="shared" si="2"/>
        <v>0</v>
      </c>
      <c r="S83">
        <f>SUM(S53:S82)</f>
        <v>67</v>
      </c>
      <c r="T83">
        <f>SUM(T53:T82)</f>
        <v>0</v>
      </c>
    </row>
    <row r="84" spans="1:40" x14ac:dyDescent="0.2">
      <c r="A84" s="2" t="s">
        <v>171</v>
      </c>
      <c r="B84" t="s">
        <v>130</v>
      </c>
      <c r="C84" t="s">
        <v>131</v>
      </c>
      <c r="D84" t="s">
        <v>104</v>
      </c>
      <c r="E84" t="s">
        <v>106</v>
      </c>
      <c r="G84" s="2" t="s">
        <v>50</v>
      </c>
      <c r="H84" t="s">
        <v>130</v>
      </c>
      <c r="I84" t="s">
        <v>131</v>
      </c>
      <c r="J84" t="s">
        <v>104</v>
      </c>
      <c r="K84" t="s">
        <v>106</v>
      </c>
      <c r="O84" s="2" t="s">
        <v>53</v>
      </c>
      <c r="P84" t="s">
        <v>130</v>
      </c>
      <c r="Q84" t="s">
        <v>131</v>
      </c>
      <c r="R84" t="s">
        <v>104</v>
      </c>
      <c r="S84" t="s">
        <v>106</v>
      </c>
      <c r="V84" t="s">
        <v>189</v>
      </c>
      <c r="W84" t="s">
        <v>190</v>
      </c>
      <c r="X84" t="s">
        <v>191</v>
      </c>
      <c r="Y84" t="s">
        <v>192</v>
      </c>
      <c r="AG84" t="s">
        <v>151</v>
      </c>
      <c r="AH84" t="s">
        <v>193</v>
      </c>
      <c r="AI84" t="s">
        <v>194</v>
      </c>
      <c r="AJ84" t="s">
        <v>195</v>
      </c>
      <c r="AK84" t="s">
        <v>196</v>
      </c>
      <c r="AL84" t="s">
        <v>197</v>
      </c>
      <c r="AM84" t="s">
        <v>198</v>
      </c>
    </row>
    <row r="85" spans="1:40" x14ac:dyDescent="0.2">
      <c r="A85" t="s">
        <v>86</v>
      </c>
      <c r="B85">
        <v>3</v>
      </c>
      <c r="C85">
        <v>3</v>
      </c>
      <c r="D85">
        <v>4</v>
      </c>
      <c r="E85">
        <v>0</v>
      </c>
      <c r="G85" t="s">
        <v>86</v>
      </c>
      <c r="H85">
        <v>5</v>
      </c>
      <c r="I85">
        <v>5</v>
      </c>
      <c r="J85">
        <v>8</v>
      </c>
      <c r="K85">
        <v>3</v>
      </c>
      <c r="O85" t="s">
        <v>86</v>
      </c>
      <c r="P85">
        <v>9</v>
      </c>
      <c r="Q85">
        <v>9</v>
      </c>
      <c r="R85">
        <v>9</v>
      </c>
      <c r="S85">
        <v>8</v>
      </c>
      <c r="U85" s="2" t="s">
        <v>171</v>
      </c>
      <c r="V85" s="19">
        <v>7.8125E-2</v>
      </c>
      <c r="W85" s="19">
        <v>6.25E-2</v>
      </c>
      <c r="X85" s="19">
        <v>9.375E-2</v>
      </c>
      <c r="Y85" s="19">
        <v>0</v>
      </c>
      <c r="AG85" s="2" t="s">
        <v>171</v>
      </c>
      <c r="AH85" s="19">
        <f>(B85+B86+B87)/B4</f>
        <v>8.3333333333333329E-2</v>
      </c>
      <c r="AI85" s="19">
        <f>(C85+C86+C87)/B4</f>
        <v>8.3333333333333329E-2</v>
      </c>
      <c r="AJ85" s="19">
        <f>(B88)/C4</f>
        <v>7.1428571428571425E-2</v>
      </c>
      <c r="AK85" s="19">
        <f>C88/C4</f>
        <v>3.5714285714285712E-2</v>
      </c>
      <c r="AL85" s="19">
        <f>B89/(B4+C4)</f>
        <v>7.8125E-2</v>
      </c>
      <c r="AM85" s="19">
        <f>C89/(B4+C4)</f>
        <v>6.25E-2</v>
      </c>
      <c r="AN85" s="19"/>
    </row>
    <row r="86" spans="1:40" x14ac:dyDescent="0.2">
      <c r="A86" t="s">
        <v>97</v>
      </c>
      <c r="B86">
        <v>0</v>
      </c>
      <c r="C86">
        <v>0</v>
      </c>
      <c r="D86">
        <v>0</v>
      </c>
      <c r="E86">
        <v>0</v>
      </c>
      <c r="G86" t="s">
        <v>97</v>
      </c>
      <c r="H86">
        <v>5</v>
      </c>
      <c r="I86">
        <v>1</v>
      </c>
      <c r="J86">
        <v>3</v>
      </c>
      <c r="K86">
        <v>1</v>
      </c>
      <c r="O86" t="s">
        <v>97</v>
      </c>
      <c r="P86">
        <v>5</v>
      </c>
      <c r="Q86">
        <v>5</v>
      </c>
      <c r="R86">
        <v>4</v>
      </c>
      <c r="S86">
        <v>4</v>
      </c>
      <c r="U86" s="2" t="s">
        <v>50</v>
      </c>
      <c r="V86" s="19">
        <v>0.328125</v>
      </c>
      <c r="W86" s="19">
        <v>0.234375</v>
      </c>
      <c r="X86" s="19">
        <v>0.390625</v>
      </c>
      <c r="Y86" s="19">
        <v>9.375E-2</v>
      </c>
      <c r="AG86" s="2" t="s">
        <v>50</v>
      </c>
      <c r="AH86" s="19">
        <f>(H85+H86+H87)/B4</f>
        <v>0.47222222222222221</v>
      </c>
      <c r="AI86" s="19">
        <f>(I85+I86+I87)/B4</f>
        <v>0.30555555555555558</v>
      </c>
      <c r="AJ86" s="19">
        <f>H88/C4</f>
        <v>0.14285714285714285</v>
      </c>
      <c r="AK86" s="19">
        <f>I88/C4</f>
        <v>0.14285714285714285</v>
      </c>
      <c r="AL86" s="19">
        <f>H89/(B4+C4)</f>
        <v>0.328125</v>
      </c>
      <c r="AM86" s="19">
        <f>I89/(B4+C4)</f>
        <v>0.234375</v>
      </c>
      <c r="AN86" s="19"/>
    </row>
    <row r="87" spans="1:40" x14ac:dyDescent="0.2">
      <c r="A87" t="s">
        <v>105</v>
      </c>
      <c r="B87">
        <v>0</v>
      </c>
      <c r="C87">
        <v>0</v>
      </c>
      <c r="D87">
        <v>1</v>
      </c>
      <c r="E87">
        <v>0</v>
      </c>
      <c r="G87" t="s">
        <v>105</v>
      </c>
      <c r="H87">
        <v>7</v>
      </c>
      <c r="I87">
        <v>5</v>
      </c>
      <c r="J87">
        <v>10</v>
      </c>
      <c r="K87">
        <v>2</v>
      </c>
      <c r="O87" t="s">
        <v>105</v>
      </c>
      <c r="P87">
        <v>7</v>
      </c>
      <c r="Q87">
        <v>7</v>
      </c>
      <c r="R87">
        <v>8</v>
      </c>
      <c r="S87">
        <v>5</v>
      </c>
      <c r="U87" s="2" t="s">
        <v>53</v>
      </c>
      <c r="V87" s="19">
        <v>0.40625</v>
      </c>
      <c r="W87" s="19">
        <v>0.40625</v>
      </c>
      <c r="X87" s="19">
        <v>0.421875</v>
      </c>
      <c r="Y87" s="19">
        <v>0.265625</v>
      </c>
      <c r="AG87" s="2" t="s">
        <v>53</v>
      </c>
      <c r="AH87" s="19">
        <f>(P85+P86+P87)/B4</f>
        <v>0.58333333333333337</v>
      </c>
      <c r="AI87" s="19">
        <f>(Q85+Q86+Q87)/B4</f>
        <v>0.58333333333333337</v>
      </c>
      <c r="AJ87" s="19">
        <f>P88/C4</f>
        <v>0.17857142857142858</v>
      </c>
      <c r="AK87" s="19">
        <f>Q88/C4</f>
        <v>0.17857142857142858</v>
      </c>
      <c r="AL87" s="19">
        <f>P89/(B4+C4)</f>
        <v>0.40625</v>
      </c>
      <c r="AM87" s="19">
        <f>(Q89)/(B4+C4)</f>
        <v>0.40625</v>
      </c>
      <c r="AN87" s="19"/>
    </row>
    <row r="88" spans="1:40" x14ac:dyDescent="0.2">
      <c r="A88" t="s">
        <v>150</v>
      </c>
      <c r="B88">
        <v>2</v>
      </c>
      <c r="C88">
        <v>1</v>
      </c>
      <c r="D88">
        <v>1</v>
      </c>
      <c r="E88">
        <f>(D83)</f>
        <v>0</v>
      </c>
      <c r="G88" t="s">
        <v>150</v>
      </c>
      <c r="H88">
        <v>4</v>
      </c>
      <c r="I88">
        <v>4</v>
      </c>
      <c r="J88">
        <v>4</v>
      </c>
      <c r="K88">
        <v>4</v>
      </c>
      <c r="O88" t="s">
        <v>150</v>
      </c>
      <c r="P88">
        <v>5</v>
      </c>
      <c r="Q88">
        <v>5</v>
      </c>
      <c r="R88">
        <v>6</v>
      </c>
      <c r="S88">
        <v>6</v>
      </c>
      <c r="U88" s="2"/>
      <c r="V88" s="19"/>
      <c r="W88" s="19"/>
      <c r="X88" s="19"/>
      <c r="Y88" s="19"/>
      <c r="AG88" s="2"/>
      <c r="AH88" s="19"/>
      <c r="AI88" s="19"/>
      <c r="AJ88" s="19"/>
      <c r="AK88" s="19"/>
      <c r="AL88" s="19"/>
      <c r="AM88" s="19"/>
      <c r="AN88" s="19"/>
    </row>
    <row r="89" spans="1:40" x14ac:dyDescent="0.2">
      <c r="A89" t="s">
        <v>112</v>
      </c>
      <c r="B89">
        <v>5</v>
      </c>
      <c r="C89">
        <v>4</v>
      </c>
      <c r="D89">
        <v>6</v>
      </c>
      <c r="E89">
        <v>0</v>
      </c>
      <c r="G89" t="s">
        <v>112</v>
      </c>
      <c r="H89">
        <f>SUM(H85:H88)</f>
        <v>21</v>
      </c>
      <c r="I89">
        <f>SUM(I85:I88)</f>
        <v>15</v>
      </c>
      <c r="J89">
        <f>SUM(J85:J88)</f>
        <v>25</v>
      </c>
      <c r="K89">
        <f>SUM(K85:K88)</f>
        <v>10</v>
      </c>
      <c r="O89" t="s">
        <v>112</v>
      </c>
      <c r="P89">
        <f>SUM(P85:P88)</f>
        <v>26</v>
      </c>
      <c r="Q89">
        <f>SUM(Q85:Q88)</f>
        <v>26</v>
      </c>
      <c r="R89">
        <f>SUM(R85:R88)</f>
        <v>27</v>
      </c>
      <c r="S89">
        <f>SUM(S85:S88)</f>
        <v>23</v>
      </c>
    </row>
    <row r="91" spans="1:40" x14ac:dyDescent="0.2">
      <c r="A91" t="s">
        <v>107</v>
      </c>
      <c r="B91" t="s">
        <v>108</v>
      </c>
      <c r="AG91" t="s">
        <v>152</v>
      </c>
      <c r="AH91" t="s">
        <v>193</v>
      </c>
      <c r="AI91" t="s">
        <v>194</v>
      </c>
      <c r="AJ91" t="s">
        <v>195</v>
      </c>
      <c r="AK91" t="s">
        <v>196</v>
      </c>
      <c r="AL91" t="s">
        <v>197</v>
      </c>
      <c r="AM91" t="s">
        <v>198</v>
      </c>
    </row>
    <row r="92" spans="1:40" x14ac:dyDescent="0.2">
      <c r="AG92" s="2" t="s">
        <v>171</v>
      </c>
      <c r="AH92" s="19">
        <f>(D85+D86+D87)/B4</f>
        <v>0.1388888888888889</v>
      </c>
      <c r="AI92" s="19">
        <f>(E85+E86+E87)/B4</f>
        <v>0</v>
      </c>
      <c r="AJ92" s="19">
        <f>(D88)/C4</f>
        <v>3.5714285714285712E-2</v>
      </c>
      <c r="AK92" s="19">
        <f>E88/C4</f>
        <v>0</v>
      </c>
      <c r="AL92" s="19">
        <f>D89/(B4+C4)</f>
        <v>9.375E-2</v>
      </c>
      <c r="AM92" s="19">
        <f>E89/(B4+C4)</f>
        <v>0</v>
      </c>
    </row>
    <row r="93" spans="1:40" x14ac:dyDescent="0.2">
      <c r="A93" s="2" t="s">
        <v>171</v>
      </c>
      <c r="B93" t="s">
        <v>158</v>
      </c>
      <c r="C93" t="s">
        <v>157</v>
      </c>
      <c r="D93" t="s">
        <v>159</v>
      </c>
      <c r="E93" t="s">
        <v>154</v>
      </c>
      <c r="G93" s="2" t="s">
        <v>50</v>
      </c>
      <c r="H93" t="s">
        <v>156</v>
      </c>
      <c r="I93" t="s">
        <v>129</v>
      </c>
      <c r="J93" t="s">
        <v>155</v>
      </c>
      <c r="K93" t="s">
        <v>154</v>
      </c>
      <c r="O93" s="2" t="s">
        <v>53</v>
      </c>
      <c r="P93" t="s">
        <v>156</v>
      </c>
      <c r="Q93" t="s">
        <v>157</v>
      </c>
      <c r="R93" t="s">
        <v>155</v>
      </c>
      <c r="S93" t="s">
        <v>154</v>
      </c>
      <c r="AG93" s="2" t="s">
        <v>50</v>
      </c>
      <c r="AH93" s="19">
        <f>(J85+J86+J87)/B4</f>
        <v>0.58333333333333337</v>
      </c>
      <c r="AI93" s="19">
        <f>(K85+K86+K87)/B4</f>
        <v>0.16666666666666666</v>
      </c>
      <c r="AJ93" s="19">
        <f>J88/C4</f>
        <v>0.14285714285714285</v>
      </c>
      <c r="AK93" s="19">
        <f>K88/C4</f>
        <v>0.14285714285714285</v>
      </c>
      <c r="AL93" s="19">
        <f>J89/(B4+C4)</f>
        <v>0.390625</v>
      </c>
      <c r="AM93" s="19">
        <f>K89/(B4+C4)</f>
        <v>0.15625</v>
      </c>
    </row>
    <row r="94" spans="1:40" x14ac:dyDescent="0.2">
      <c r="A94" t="s">
        <v>153</v>
      </c>
      <c r="B94" s="19">
        <f>4/C3</f>
        <v>1.2500000000000001E-2</v>
      </c>
      <c r="C94" s="19">
        <f>4/C3</f>
        <v>1.2500000000000001E-2</v>
      </c>
      <c r="D94" s="19">
        <f>7/C3</f>
        <v>2.1874999999999999E-2</v>
      </c>
      <c r="E94" s="19">
        <f>1/C3</f>
        <v>3.1250000000000002E-3</v>
      </c>
      <c r="G94" t="s">
        <v>153</v>
      </c>
      <c r="H94" s="19">
        <f>50/C3</f>
        <v>0.15625</v>
      </c>
      <c r="I94" s="19">
        <f>50/C3</f>
        <v>0.15625</v>
      </c>
      <c r="J94" s="19">
        <f>21/C3</f>
        <v>6.5625000000000003E-2</v>
      </c>
      <c r="K94" s="19">
        <f>10/C3</f>
        <v>3.125E-2</v>
      </c>
      <c r="O94" t="s">
        <v>153</v>
      </c>
      <c r="P94" s="19">
        <f>(18+14+2+20+20+20+20+1+1+20+20+40)/C3</f>
        <v>0.61250000000000004</v>
      </c>
      <c r="Q94" s="19">
        <f>(18+14+20+20+20+20+1+20+20+40)/C3</f>
        <v>0.60312500000000002</v>
      </c>
      <c r="R94" s="19">
        <f>(18+13+20+20+19+19+19+20+20+1+1+20)/C3</f>
        <v>0.59375</v>
      </c>
      <c r="S94" s="19">
        <f>(18+13+20+20+19+19+19+20+20)/C3</f>
        <v>0.52500000000000002</v>
      </c>
      <c r="U94" t="s">
        <v>117</v>
      </c>
      <c r="AG94" s="2" t="s">
        <v>53</v>
      </c>
      <c r="AH94" s="19">
        <f>(R85+R86+R87)/B4</f>
        <v>0.58333333333333337</v>
      </c>
      <c r="AI94" s="19">
        <f>(S85+S86+S87)/B4</f>
        <v>0.47222222222222221</v>
      </c>
      <c r="AJ94" s="19">
        <f>R88/C4</f>
        <v>0.21428571428571427</v>
      </c>
      <c r="AK94" s="19">
        <f>S88/C4</f>
        <v>0.21428571428571427</v>
      </c>
      <c r="AL94" s="19">
        <f>R89/(B4+C4)</f>
        <v>0.421875</v>
      </c>
      <c r="AM94" s="19">
        <f>S89/(B4+C4)</f>
        <v>0.359375</v>
      </c>
    </row>
    <row r="95" spans="1:40" x14ac:dyDescent="0.2">
      <c r="A95" t="s">
        <v>97</v>
      </c>
      <c r="B95" s="19">
        <v>0</v>
      </c>
      <c r="C95" s="19">
        <v>0</v>
      </c>
      <c r="D95" s="19">
        <v>0</v>
      </c>
      <c r="E95" s="19">
        <v>0</v>
      </c>
      <c r="G95" t="s">
        <v>97</v>
      </c>
      <c r="H95" s="19">
        <f>11/E3</f>
        <v>5.5E-2</v>
      </c>
      <c r="I95" s="19">
        <f>1/E3</f>
        <v>5.0000000000000001E-3</v>
      </c>
      <c r="J95" s="19">
        <f>6/E3</f>
        <v>0.03</v>
      </c>
      <c r="K95" s="19">
        <f>4/E3</f>
        <v>0.02</v>
      </c>
      <c r="O95" t="s">
        <v>97</v>
      </c>
      <c r="P95" s="19">
        <f>80/E3</f>
        <v>0.4</v>
      </c>
      <c r="Q95" s="19">
        <f>80/E3</f>
        <v>0.4</v>
      </c>
      <c r="R95" s="19">
        <f>68/E3</f>
        <v>0.34</v>
      </c>
      <c r="S95" s="19">
        <f>61/E3</f>
        <v>0.30499999999999999</v>
      </c>
      <c r="AG95" s="2"/>
      <c r="AH95" s="19"/>
      <c r="AI95" s="19"/>
      <c r="AJ95" s="19"/>
      <c r="AK95" s="19"/>
      <c r="AL95" s="19"/>
      <c r="AM95" s="19"/>
    </row>
    <row r="96" spans="1:40" x14ac:dyDescent="0.2">
      <c r="A96" t="s">
        <v>105</v>
      </c>
      <c r="B96" s="19">
        <v>0</v>
      </c>
      <c r="C96" s="19">
        <v>0</v>
      </c>
      <c r="D96" s="19">
        <f>1/G3</f>
        <v>5.0000000000000001E-3</v>
      </c>
      <c r="E96" s="19">
        <v>0</v>
      </c>
      <c r="F96" s="3"/>
      <c r="G96" t="s">
        <v>105</v>
      </c>
      <c r="H96" s="19">
        <f>58/G3</f>
        <v>0.28999999999999998</v>
      </c>
      <c r="I96" s="19">
        <f>30/G3</f>
        <v>0.15</v>
      </c>
      <c r="J96" s="19">
        <f>78/G3</f>
        <v>0.39</v>
      </c>
      <c r="K96" s="19">
        <f>4/G3</f>
        <v>0.02</v>
      </c>
      <c r="N96" s="3"/>
      <c r="O96" t="s">
        <v>105</v>
      </c>
      <c r="P96" s="19">
        <f>(47+16+20+18)/G3</f>
        <v>0.505</v>
      </c>
      <c r="Q96" s="19">
        <f>(41+16+20+18)/G3</f>
        <v>0.47499999999999998</v>
      </c>
      <c r="R96" s="19">
        <f>(15+98)/G3</f>
        <v>0.56499999999999995</v>
      </c>
      <c r="S96" s="19">
        <f>(15/G3)</f>
        <v>7.4999999999999997E-2</v>
      </c>
      <c r="U96" t="s">
        <v>119</v>
      </c>
    </row>
    <row r="97" spans="1:19" x14ac:dyDescent="0.2">
      <c r="A97" t="s">
        <v>86</v>
      </c>
      <c r="B97" s="19">
        <f>4/(C3+E3+G3)</f>
        <v>5.5555555555555558E-3</v>
      </c>
      <c r="C97" s="19">
        <f>4/(C3+E3+G3)</f>
        <v>5.5555555555555558E-3</v>
      </c>
      <c r="D97" s="19">
        <f>8/(C3+E3+G3)</f>
        <v>1.1111111111111112E-2</v>
      </c>
      <c r="E97" s="19">
        <f>1/(C3+E3+G3)</f>
        <v>1.3888888888888889E-3</v>
      </c>
      <c r="F97" s="3"/>
      <c r="G97" t="s">
        <v>86</v>
      </c>
      <c r="H97" s="19">
        <f>(50+11+58)/(C3+E3+G3)</f>
        <v>0.16527777777777777</v>
      </c>
      <c r="I97" s="19">
        <f>(50+1+30)/(C3+E3+G3)</f>
        <v>0.1125</v>
      </c>
      <c r="J97" s="19">
        <f>(21+6+78)/(C3+E3+G3)</f>
        <v>0.14583333333333334</v>
      </c>
      <c r="K97" s="19">
        <f>(10+4+4)/(C3+E3+G3)</f>
        <v>2.5000000000000001E-2</v>
      </c>
      <c r="N97" s="3"/>
      <c r="O97" t="s">
        <v>86</v>
      </c>
      <c r="P97" s="19">
        <f>(18+14+2+20+20+20+20+1+1+20+20+80+47+16+20+18)/(C3+E3+G3)</f>
        <v>0.46805555555555556</v>
      </c>
      <c r="Q97" s="19">
        <f>(18+14+20+20+20+20+1+20+20+80+41+16+20+18)/(C3+E3+G3)</f>
        <v>0.45555555555555555</v>
      </c>
      <c r="R97" s="19">
        <f>(18+13+20+20+19+19+19+20+20+1+1+20+68+15+98)/(C3+E3+G3)</f>
        <v>0.51527777777777772</v>
      </c>
      <c r="S97" s="23">
        <v>0.33889999999999998</v>
      </c>
    </row>
    <row r="98" spans="1:19" x14ac:dyDescent="0.2">
      <c r="A98" t="s">
        <v>150</v>
      </c>
      <c r="B98" s="19">
        <f>(B83+C83)/I3</f>
        <v>3.7499999999999999E-2</v>
      </c>
      <c r="C98" s="19">
        <f>B83/I3</f>
        <v>3.5714285714285712E-2</v>
      </c>
      <c r="D98" s="19">
        <f>(D81+E81)/I3</f>
        <v>0</v>
      </c>
      <c r="E98" s="19">
        <f>(D83+E83)/I3</f>
        <v>0</v>
      </c>
      <c r="F98" s="3"/>
      <c r="G98" t="s">
        <v>150</v>
      </c>
      <c r="H98" s="19">
        <f>(G83+H83)/I3</f>
        <v>7.857142857142857E-2</v>
      </c>
      <c r="I98" s="19">
        <f>G83/I3</f>
        <v>7.857142857142857E-2</v>
      </c>
      <c r="J98" s="19">
        <f>(K83+L83)/I3</f>
        <v>4.2857142857142858E-2</v>
      </c>
      <c r="K98" s="19">
        <f>K83/I3</f>
        <v>4.2857142857142858E-2</v>
      </c>
      <c r="N98" s="3"/>
      <c r="O98" t="s">
        <v>150</v>
      </c>
      <c r="P98" s="19">
        <f>(O83+P83)/I3</f>
        <v>0.1357142857142857</v>
      </c>
      <c r="Q98" s="19">
        <f>O83/I3</f>
        <v>0.1357142857142857</v>
      </c>
      <c r="R98" s="19">
        <f>(S83+T83)/I3</f>
        <v>0.11964285714285715</v>
      </c>
      <c r="S98" s="19">
        <f>S83/I3</f>
        <v>0.11964285714285715</v>
      </c>
    </row>
    <row r="99" spans="1:19" x14ac:dyDescent="0.2">
      <c r="A99" t="s">
        <v>111</v>
      </c>
      <c r="B99" s="19">
        <f>(4+B83+C83)/(C3+E3+G3+I3)</f>
        <v>1.953125E-2</v>
      </c>
      <c r="C99" s="19">
        <f>(4+B83)/(C3+E3+G3+I3)</f>
        <v>1.8749999999999999E-2</v>
      </c>
      <c r="D99" s="19">
        <f>(8+0)/(C3+E3+G3+I3)</f>
        <v>6.2500000000000003E-3</v>
      </c>
      <c r="E99" s="19">
        <f>(1+0)/(C3+E3+G3+I3)</f>
        <v>7.8125000000000004E-4</v>
      </c>
      <c r="G99" t="s">
        <v>111</v>
      </c>
      <c r="H99" s="19">
        <f>(50+11+58+G83+H83)/(C3+E3+G3+I3)</f>
        <v>0.12734375000000001</v>
      </c>
      <c r="I99" s="19">
        <f>(50+1+30+G83)/(C3+E3+G3+I3)</f>
        <v>9.765625E-2</v>
      </c>
      <c r="J99" s="19">
        <f>(21+6+78+K83+L83)/(C3+E3+G3+I3)</f>
        <v>0.10078125</v>
      </c>
      <c r="K99" s="19">
        <f>(10+4+4+K83)/(C3+E3+G3+I3)</f>
        <v>3.2812500000000001E-2</v>
      </c>
      <c r="O99" t="s">
        <v>111</v>
      </c>
      <c r="P99" s="19">
        <f>(18+14+2+20+20+20+20+1+1+20+20+80+47+16+20+18+O83+P83)/(C3+E3+G3+I3)</f>
        <v>0.32265624999999998</v>
      </c>
      <c r="Q99" s="19">
        <f>(18+14+20+20+20+20+1+20+20+80+41+16+20+18+O83)/(C3+E3+G3+I3)</f>
        <v>0.31562499999999999</v>
      </c>
      <c r="R99" s="19">
        <f>(18+13+20+20+19+19+19+20+20+1+1+20+68+15+98+S83+T83)/(C3+E3+G3+I3)</f>
        <v>0.34218749999999998</v>
      </c>
      <c r="S99" s="19">
        <f>(18+13+20+20+19+19+19+20+20+61+15+S83)/(C3+E3+G3+I3)</f>
        <v>0.24296875000000001</v>
      </c>
    </row>
    <row r="100" spans="1:19" x14ac:dyDescent="0.2">
      <c r="H100" s="19"/>
    </row>
    <row r="109" spans="1:19" x14ac:dyDescent="0.2">
      <c r="F109" s="3"/>
      <c r="N109" s="3"/>
    </row>
    <row r="116" spans="1:18" x14ac:dyDescent="0.2">
      <c r="A116" t="s">
        <v>113</v>
      </c>
    </row>
    <row r="117" spans="1:18" x14ac:dyDescent="0.2">
      <c r="A117" t="s">
        <v>114</v>
      </c>
    </row>
    <row r="118" spans="1:18" x14ac:dyDescent="0.2">
      <c r="B118" s="1"/>
      <c r="C118" s="1"/>
    </row>
    <row r="119" spans="1:18" x14ac:dyDescent="0.2">
      <c r="A119" t="s">
        <v>199</v>
      </c>
      <c r="B119" s="1"/>
      <c r="C119" s="1"/>
    </row>
    <row r="120" spans="1:18" x14ac:dyDescent="0.2">
      <c r="A120" t="s">
        <v>200</v>
      </c>
      <c r="B120" s="3"/>
      <c r="C120" s="3"/>
      <c r="F120" s="3"/>
      <c r="N120" s="3"/>
    </row>
    <row r="121" spans="1:18" x14ac:dyDescent="0.2">
      <c r="A121" t="s">
        <v>201</v>
      </c>
      <c r="B121" s="1"/>
      <c r="C121" s="1"/>
    </row>
    <row r="122" spans="1:18" x14ac:dyDescent="0.2">
      <c r="B122" s="1"/>
      <c r="C122" s="1"/>
    </row>
    <row r="123" spans="1:18" x14ac:dyDescent="0.2">
      <c r="A123" s="3" t="s">
        <v>115</v>
      </c>
      <c r="B123" s="3"/>
      <c r="C123" s="3"/>
      <c r="D123" s="3"/>
      <c r="E123" s="3"/>
      <c r="F123" s="3"/>
      <c r="G123" s="3"/>
      <c r="H123" s="3"/>
      <c r="I123" s="3"/>
      <c r="J123" s="3"/>
      <c r="K123" s="3"/>
      <c r="L123" s="3"/>
      <c r="M123" s="3"/>
      <c r="N123" s="3"/>
      <c r="O123" s="3"/>
      <c r="P123" s="3"/>
      <c r="Q123" s="3"/>
      <c r="R123" s="3"/>
    </row>
    <row r="124" spans="1:18" x14ac:dyDescent="0.2">
      <c r="A124" t="s">
        <v>202</v>
      </c>
      <c r="B124" s="1"/>
      <c r="C124" s="1"/>
    </row>
    <row r="125" spans="1:18" x14ac:dyDescent="0.2">
      <c r="A125" t="s">
        <v>203</v>
      </c>
      <c r="B125" s="1"/>
      <c r="C125" s="1"/>
    </row>
    <row r="126" spans="1:18" x14ac:dyDescent="0.2">
      <c r="B126" s="1"/>
      <c r="C126" s="1"/>
    </row>
    <row r="127" spans="1:18" x14ac:dyDescent="0.2">
      <c r="A127" t="s">
        <v>116</v>
      </c>
      <c r="B127" s="1" t="s">
        <v>204</v>
      </c>
      <c r="C127" s="1"/>
    </row>
    <row r="128" spans="1:18" x14ac:dyDescent="0.2">
      <c r="B128" s="1"/>
      <c r="C128" s="1"/>
    </row>
    <row r="129" spans="1:31" x14ac:dyDescent="0.2">
      <c r="A129" s="3"/>
      <c r="B129" s="3"/>
      <c r="C129" s="3"/>
      <c r="D129" s="3"/>
      <c r="E129" s="3"/>
      <c r="F129" s="3"/>
      <c r="G129" s="3"/>
      <c r="H129" s="3"/>
      <c r="I129" s="3"/>
      <c r="J129" s="3"/>
      <c r="K129" s="3"/>
      <c r="L129" s="3"/>
      <c r="M129" s="3"/>
      <c r="N129" s="3"/>
      <c r="O129" s="3"/>
      <c r="P129" s="3"/>
      <c r="Q129" s="3"/>
      <c r="R129" s="3"/>
    </row>
    <row r="130" spans="1:31" x14ac:dyDescent="0.2">
      <c r="A130" s="3"/>
      <c r="B130" s="3"/>
      <c r="C130" s="3"/>
      <c r="D130" s="3"/>
      <c r="E130" s="3"/>
      <c r="F130" s="3"/>
      <c r="G130" s="3"/>
      <c r="H130" s="3"/>
      <c r="I130" s="3"/>
      <c r="J130" s="3"/>
      <c r="K130" s="3"/>
      <c r="L130" s="3"/>
      <c r="M130" s="3"/>
      <c r="N130" s="3"/>
      <c r="O130" s="3"/>
      <c r="P130" s="3"/>
      <c r="Q130" s="3"/>
      <c r="R130" s="3"/>
    </row>
    <row r="131" spans="1:31" x14ac:dyDescent="0.2">
      <c r="A131" s="3"/>
      <c r="B131" s="3"/>
      <c r="C131" s="3"/>
      <c r="D131" s="3"/>
      <c r="E131" s="3"/>
      <c r="F131" s="3"/>
      <c r="G131" s="3"/>
      <c r="H131" s="3"/>
      <c r="I131" s="3"/>
      <c r="J131" s="3"/>
      <c r="K131" s="3"/>
      <c r="L131" s="3"/>
      <c r="M131" s="3"/>
      <c r="N131" s="3"/>
      <c r="O131" s="3"/>
      <c r="P131" s="3"/>
      <c r="Q131" s="3"/>
      <c r="R131" s="3"/>
    </row>
    <row r="132" spans="1:31" x14ac:dyDescent="0.2">
      <c r="B132" s="17"/>
      <c r="C132" s="17"/>
      <c r="D132" s="17"/>
      <c r="E132" s="17"/>
      <c r="G132" s="17"/>
      <c r="I132" s="17"/>
      <c r="J132" s="17"/>
      <c r="K132" s="17"/>
      <c r="L132" s="17"/>
      <c r="M132" s="3"/>
      <c r="Q132" s="17"/>
      <c r="R132" s="17"/>
    </row>
    <row r="133" spans="1:31" x14ac:dyDescent="0.2">
      <c r="A133" s="3"/>
      <c r="B133" s="3"/>
      <c r="C133" s="3"/>
      <c r="D133" s="3"/>
      <c r="F133" s="3"/>
      <c r="G133" s="3"/>
      <c r="H133" s="3"/>
      <c r="I133" s="3"/>
      <c r="J133" s="3"/>
      <c r="K133" s="3"/>
      <c r="L133" s="3"/>
      <c r="M133" s="3"/>
      <c r="N133" s="3"/>
      <c r="O133" s="3"/>
      <c r="P133" s="3"/>
      <c r="Q133" s="3"/>
      <c r="R133" s="3"/>
    </row>
    <row r="134" spans="1:31" x14ac:dyDescent="0.2">
      <c r="B134" s="1"/>
      <c r="C134" s="1"/>
      <c r="D134" s="17"/>
      <c r="E134" s="17"/>
      <c r="I134" s="17"/>
      <c r="J134" s="17"/>
      <c r="K134" s="17"/>
      <c r="L134" s="17"/>
      <c r="M134" s="3"/>
      <c r="O134" s="17"/>
      <c r="P134" s="17"/>
      <c r="Q134" s="17"/>
      <c r="R134" s="17"/>
    </row>
    <row r="135" spans="1:31" x14ac:dyDescent="0.2">
      <c r="A135" s="2" t="s">
        <v>212</v>
      </c>
      <c r="B135" s="2" t="s">
        <v>157</v>
      </c>
      <c r="C135" s="2" t="s">
        <v>156</v>
      </c>
      <c r="D135" s="2" t="s">
        <v>154</v>
      </c>
      <c r="E135" s="2" t="s">
        <v>159</v>
      </c>
      <c r="F135" s="3"/>
      <c r="G135" s="3"/>
      <c r="H135" s="3"/>
      <c r="I135" s="2" t="s">
        <v>44</v>
      </c>
      <c r="J135" s="2" t="s">
        <v>157</v>
      </c>
      <c r="K135" s="2" t="s">
        <v>156</v>
      </c>
      <c r="L135" s="2" t="s">
        <v>154</v>
      </c>
      <c r="M135" s="2" t="s">
        <v>159</v>
      </c>
      <c r="N135" s="3"/>
      <c r="O135" s="2" t="s">
        <v>44</v>
      </c>
      <c r="P135" s="2" t="s">
        <v>157</v>
      </c>
      <c r="Q135" s="2" t="s">
        <v>156</v>
      </c>
      <c r="R135" s="2" t="s">
        <v>154</v>
      </c>
      <c r="S135" s="2" t="s">
        <v>159</v>
      </c>
      <c r="T135" s="3"/>
      <c r="V135" s="2"/>
      <c r="W135" s="2" t="s">
        <v>157</v>
      </c>
      <c r="X135" s="2" t="s">
        <v>156</v>
      </c>
      <c r="Y135" s="2" t="s">
        <v>154</v>
      </c>
      <c r="Z135" s="2" t="s">
        <v>159</v>
      </c>
      <c r="AB135" s="2" t="s">
        <v>157</v>
      </c>
      <c r="AC135" s="2" t="s">
        <v>156</v>
      </c>
      <c r="AD135" s="2" t="s">
        <v>154</v>
      </c>
      <c r="AE135" s="2" t="s">
        <v>159</v>
      </c>
    </row>
    <row r="136" spans="1:31" x14ac:dyDescent="0.2">
      <c r="A136" s="3" t="s">
        <v>86</v>
      </c>
      <c r="B136" s="19">
        <v>0</v>
      </c>
      <c r="C136" s="19">
        <v>0</v>
      </c>
      <c r="D136" s="19">
        <v>0</v>
      </c>
      <c r="E136" s="19">
        <v>0</v>
      </c>
      <c r="I136" s="3" t="s">
        <v>86</v>
      </c>
      <c r="J136" s="16">
        <v>0</v>
      </c>
      <c r="K136" s="16">
        <v>1</v>
      </c>
      <c r="L136" s="16">
        <v>4</v>
      </c>
      <c r="M136" s="16">
        <v>4</v>
      </c>
      <c r="O136" s="3" t="s">
        <v>86</v>
      </c>
      <c r="P136" s="19">
        <f>J136/20</f>
        <v>0</v>
      </c>
      <c r="Q136" s="19">
        <f t="shared" ref="Q136:S151" si="3">K136/20</f>
        <v>0.05</v>
      </c>
      <c r="R136" s="19">
        <f t="shared" si="3"/>
        <v>0.2</v>
      </c>
      <c r="S136" s="19">
        <f t="shared" si="3"/>
        <v>0.2</v>
      </c>
      <c r="W136">
        <v>0</v>
      </c>
      <c r="X136">
        <v>0</v>
      </c>
      <c r="Y136">
        <v>0</v>
      </c>
      <c r="Z136">
        <v>0</v>
      </c>
      <c r="AB136" s="19">
        <f>W136/20</f>
        <v>0</v>
      </c>
      <c r="AC136" s="19">
        <f t="shared" ref="AC136:AE136" si="4">X136/20</f>
        <v>0</v>
      </c>
      <c r="AD136" s="19">
        <f t="shared" si="4"/>
        <v>0</v>
      </c>
      <c r="AE136" s="19">
        <f t="shared" si="4"/>
        <v>0</v>
      </c>
    </row>
    <row r="137" spans="1:31" x14ac:dyDescent="0.2">
      <c r="B137" s="19">
        <v>0</v>
      </c>
      <c r="C137" s="19">
        <v>0</v>
      </c>
      <c r="D137" s="19">
        <v>0</v>
      </c>
      <c r="E137" s="19">
        <v>0</v>
      </c>
      <c r="J137" s="16">
        <v>0</v>
      </c>
      <c r="K137" s="16">
        <v>0</v>
      </c>
      <c r="L137" s="16">
        <v>0</v>
      </c>
      <c r="M137" s="16">
        <v>0</v>
      </c>
      <c r="P137" s="19">
        <f t="shared" ref="P137:S200" si="5">J137/20</f>
        <v>0</v>
      </c>
      <c r="Q137" s="19">
        <f t="shared" si="3"/>
        <v>0</v>
      </c>
      <c r="R137" s="19">
        <f t="shared" si="3"/>
        <v>0</v>
      </c>
      <c r="S137" s="19">
        <f t="shared" si="3"/>
        <v>0</v>
      </c>
      <c r="W137">
        <v>20</v>
      </c>
      <c r="X137">
        <v>20</v>
      </c>
      <c r="Y137">
        <v>14</v>
      </c>
      <c r="Z137">
        <v>14</v>
      </c>
      <c r="AB137" s="19">
        <f t="shared" ref="AB137:AB200" si="6">W137/20</f>
        <v>1</v>
      </c>
      <c r="AC137" s="19">
        <f t="shared" ref="AC137:AC200" si="7">X137/20</f>
        <v>1</v>
      </c>
      <c r="AD137" s="19">
        <f t="shared" ref="AD137:AD200" si="8">Y137/20</f>
        <v>0.7</v>
      </c>
      <c r="AE137" s="19">
        <f t="shared" ref="AE137:AE200" si="9">Z137/20</f>
        <v>0.7</v>
      </c>
    </row>
    <row r="138" spans="1:31" x14ac:dyDescent="0.2">
      <c r="B138" s="19">
        <v>0</v>
      </c>
      <c r="C138" s="19">
        <v>0</v>
      </c>
      <c r="D138" s="19">
        <v>0</v>
      </c>
      <c r="E138" s="19">
        <v>0</v>
      </c>
      <c r="J138" s="16">
        <v>0</v>
      </c>
      <c r="K138" s="16">
        <v>5</v>
      </c>
      <c r="L138" s="16">
        <v>0</v>
      </c>
      <c r="M138" s="16">
        <v>0</v>
      </c>
      <c r="P138" s="19">
        <f t="shared" si="5"/>
        <v>0</v>
      </c>
      <c r="Q138" s="19">
        <f t="shared" si="3"/>
        <v>0.25</v>
      </c>
      <c r="R138" s="19">
        <f t="shared" si="3"/>
        <v>0</v>
      </c>
      <c r="S138" s="19">
        <f t="shared" si="3"/>
        <v>0</v>
      </c>
      <c r="W138">
        <v>20</v>
      </c>
      <c r="X138">
        <v>20</v>
      </c>
      <c r="Y138">
        <v>20</v>
      </c>
      <c r="Z138">
        <v>20</v>
      </c>
      <c r="AB138" s="19">
        <f t="shared" si="6"/>
        <v>1</v>
      </c>
      <c r="AC138" s="19">
        <f t="shared" si="7"/>
        <v>1</v>
      </c>
      <c r="AD138" s="19">
        <f t="shared" si="8"/>
        <v>1</v>
      </c>
      <c r="AE138" s="19">
        <f t="shared" si="9"/>
        <v>1</v>
      </c>
    </row>
    <row r="139" spans="1:31" x14ac:dyDescent="0.2">
      <c r="B139" s="19">
        <v>0</v>
      </c>
      <c r="C139" s="19">
        <v>0</v>
      </c>
      <c r="D139" s="19">
        <v>0</v>
      </c>
      <c r="E139" s="19">
        <v>0</v>
      </c>
      <c r="J139" s="16">
        <v>0</v>
      </c>
      <c r="K139" s="16">
        <v>0</v>
      </c>
      <c r="L139" s="16">
        <v>0</v>
      </c>
      <c r="M139" s="16">
        <v>1</v>
      </c>
      <c r="P139" s="19">
        <f t="shared" si="5"/>
        <v>0</v>
      </c>
      <c r="Q139" s="19">
        <f t="shared" si="3"/>
        <v>0</v>
      </c>
      <c r="R139" s="19">
        <f t="shared" si="3"/>
        <v>0</v>
      </c>
      <c r="S139" s="19">
        <f t="shared" si="3"/>
        <v>0.05</v>
      </c>
      <c r="W139">
        <v>20</v>
      </c>
      <c r="X139">
        <v>20</v>
      </c>
      <c r="Y139">
        <v>17</v>
      </c>
      <c r="Z139">
        <v>20</v>
      </c>
      <c r="AB139" s="19">
        <f t="shared" si="6"/>
        <v>1</v>
      </c>
      <c r="AC139" s="19">
        <f t="shared" si="7"/>
        <v>1</v>
      </c>
      <c r="AD139" s="19">
        <f t="shared" si="8"/>
        <v>0.85</v>
      </c>
      <c r="AE139" s="19">
        <f t="shared" si="9"/>
        <v>1</v>
      </c>
    </row>
    <row r="140" spans="1:31" x14ac:dyDescent="0.2">
      <c r="B140" s="19">
        <v>0</v>
      </c>
      <c r="C140" s="19">
        <v>0</v>
      </c>
      <c r="D140" s="19">
        <v>0</v>
      </c>
      <c r="E140" s="19">
        <v>0</v>
      </c>
      <c r="J140" s="16">
        <v>1</v>
      </c>
      <c r="K140" s="16">
        <v>1</v>
      </c>
      <c r="L140" s="16">
        <v>0</v>
      </c>
      <c r="M140" s="16">
        <v>0</v>
      </c>
      <c r="P140" s="19">
        <f t="shared" si="5"/>
        <v>0.05</v>
      </c>
      <c r="Q140" s="19">
        <f t="shared" si="3"/>
        <v>0.05</v>
      </c>
      <c r="R140" s="19">
        <f t="shared" si="3"/>
        <v>0</v>
      </c>
      <c r="S140" s="19">
        <f t="shared" si="3"/>
        <v>0</v>
      </c>
      <c r="W140">
        <v>4</v>
      </c>
      <c r="X140">
        <v>4</v>
      </c>
      <c r="Y140">
        <v>0</v>
      </c>
      <c r="Z140">
        <v>0</v>
      </c>
      <c r="AB140" s="19">
        <f t="shared" si="6"/>
        <v>0.2</v>
      </c>
      <c r="AC140" s="19">
        <f t="shared" si="7"/>
        <v>0.2</v>
      </c>
      <c r="AD140" s="19">
        <f t="shared" si="8"/>
        <v>0</v>
      </c>
      <c r="AE140" s="19">
        <f t="shared" si="9"/>
        <v>0</v>
      </c>
    </row>
    <row r="141" spans="1:31" x14ac:dyDescent="0.2">
      <c r="B141" s="19">
        <v>0</v>
      </c>
      <c r="C141" s="19">
        <v>0</v>
      </c>
      <c r="D141" s="19">
        <v>0</v>
      </c>
      <c r="E141" s="19">
        <v>0</v>
      </c>
      <c r="J141" s="16">
        <v>0</v>
      </c>
      <c r="K141" s="16">
        <v>2</v>
      </c>
      <c r="L141" s="16">
        <v>0</v>
      </c>
      <c r="M141" s="16">
        <v>0</v>
      </c>
      <c r="P141" s="19">
        <f t="shared" si="5"/>
        <v>0</v>
      </c>
      <c r="Q141" s="19">
        <f t="shared" si="3"/>
        <v>0.1</v>
      </c>
      <c r="R141" s="19">
        <f t="shared" si="3"/>
        <v>0</v>
      </c>
      <c r="S141" s="19">
        <f t="shared" si="3"/>
        <v>0</v>
      </c>
      <c r="W141">
        <v>0</v>
      </c>
      <c r="X141">
        <v>0</v>
      </c>
      <c r="Y141">
        <v>0</v>
      </c>
      <c r="Z141">
        <v>0</v>
      </c>
      <c r="AB141" s="19">
        <f t="shared" si="6"/>
        <v>0</v>
      </c>
      <c r="AC141" s="19">
        <f t="shared" si="7"/>
        <v>0</v>
      </c>
      <c r="AD141" s="19">
        <f t="shared" si="8"/>
        <v>0</v>
      </c>
      <c r="AE141" s="19">
        <f t="shared" si="9"/>
        <v>0</v>
      </c>
    </row>
    <row r="142" spans="1:31" x14ac:dyDescent="0.2">
      <c r="B142" s="19">
        <v>0</v>
      </c>
      <c r="C142" s="19">
        <v>0</v>
      </c>
      <c r="D142" s="19">
        <v>0</v>
      </c>
      <c r="E142" s="19">
        <v>0</v>
      </c>
      <c r="J142" s="16">
        <v>0</v>
      </c>
      <c r="K142" s="16">
        <v>2</v>
      </c>
      <c r="L142" s="16">
        <v>0</v>
      </c>
      <c r="M142" s="16">
        <v>1</v>
      </c>
      <c r="P142" s="19">
        <f t="shared" si="5"/>
        <v>0</v>
      </c>
      <c r="Q142" s="19">
        <f t="shared" si="3"/>
        <v>0.1</v>
      </c>
      <c r="R142" s="19">
        <f t="shared" si="3"/>
        <v>0</v>
      </c>
      <c r="S142" s="19">
        <f t="shared" si="3"/>
        <v>0.05</v>
      </c>
      <c r="W142">
        <v>16</v>
      </c>
      <c r="X142">
        <v>16</v>
      </c>
      <c r="Y142">
        <v>10</v>
      </c>
      <c r="Z142">
        <v>14</v>
      </c>
      <c r="AB142" s="19">
        <f t="shared" si="6"/>
        <v>0.8</v>
      </c>
      <c r="AC142" s="19">
        <f t="shared" si="7"/>
        <v>0.8</v>
      </c>
      <c r="AD142" s="19">
        <f t="shared" si="8"/>
        <v>0.5</v>
      </c>
      <c r="AE142" s="19">
        <f t="shared" si="9"/>
        <v>0.7</v>
      </c>
    </row>
    <row r="143" spans="1:31" x14ac:dyDescent="0.2">
      <c r="B143" s="19">
        <v>0</v>
      </c>
      <c r="C143" s="19">
        <v>0</v>
      </c>
      <c r="D143" s="19">
        <v>0</v>
      </c>
      <c r="E143" s="19">
        <v>0</v>
      </c>
      <c r="J143" s="16">
        <v>0</v>
      </c>
      <c r="K143" s="16">
        <v>0</v>
      </c>
      <c r="L143" s="16">
        <v>0</v>
      </c>
      <c r="M143" s="16">
        <v>0</v>
      </c>
      <c r="P143" s="19">
        <f t="shared" si="5"/>
        <v>0</v>
      </c>
      <c r="Q143" s="19">
        <f t="shared" si="3"/>
        <v>0</v>
      </c>
      <c r="R143" s="19">
        <f t="shared" si="3"/>
        <v>0</v>
      </c>
      <c r="S143" s="19">
        <f t="shared" si="3"/>
        <v>0</v>
      </c>
      <c r="W143">
        <v>0</v>
      </c>
      <c r="X143">
        <v>0</v>
      </c>
      <c r="Y143">
        <v>0</v>
      </c>
      <c r="Z143">
        <v>0</v>
      </c>
      <c r="AB143" s="19">
        <f t="shared" si="6"/>
        <v>0</v>
      </c>
      <c r="AC143" s="19">
        <f t="shared" si="7"/>
        <v>0</v>
      </c>
      <c r="AD143" s="19">
        <f t="shared" si="8"/>
        <v>0</v>
      </c>
      <c r="AE143" s="19">
        <f t="shared" si="9"/>
        <v>0</v>
      </c>
    </row>
    <row r="144" spans="1:31" x14ac:dyDescent="0.2">
      <c r="B144" s="19">
        <v>0</v>
      </c>
      <c r="C144" s="19">
        <v>0</v>
      </c>
      <c r="D144" s="19">
        <v>0</v>
      </c>
      <c r="E144" s="19">
        <v>0</v>
      </c>
      <c r="J144" s="16">
        <v>0</v>
      </c>
      <c r="K144" s="16">
        <v>0</v>
      </c>
      <c r="L144" s="16">
        <v>0</v>
      </c>
      <c r="M144" s="16">
        <v>0</v>
      </c>
      <c r="P144" s="19">
        <f t="shared" si="5"/>
        <v>0</v>
      </c>
      <c r="Q144" s="19">
        <f t="shared" si="3"/>
        <v>0</v>
      </c>
      <c r="R144" s="19">
        <f t="shared" si="3"/>
        <v>0</v>
      </c>
      <c r="S144" s="19">
        <f t="shared" si="3"/>
        <v>0</v>
      </c>
      <c r="W144">
        <v>0</v>
      </c>
      <c r="X144">
        <v>0</v>
      </c>
      <c r="Y144">
        <v>0</v>
      </c>
      <c r="Z144">
        <v>0</v>
      </c>
      <c r="AB144" s="19">
        <f t="shared" si="6"/>
        <v>0</v>
      </c>
      <c r="AC144" s="19">
        <f t="shared" si="7"/>
        <v>0</v>
      </c>
      <c r="AD144" s="19">
        <f t="shared" si="8"/>
        <v>0</v>
      </c>
      <c r="AE144" s="19">
        <f t="shared" si="9"/>
        <v>0</v>
      </c>
    </row>
    <row r="145" spans="1:31" x14ac:dyDescent="0.2">
      <c r="B145" s="19">
        <v>0</v>
      </c>
      <c r="C145" s="19">
        <v>0</v>
      </c>
      <c r="D145" s="19">
        <v>0</v>
      </c>
      <c r="E145" s="19">
        <v>0</v>
      </c>
      <c r="J145" s="16">
        <v>0</v>
      </c>
      <c r="K145" s="16">
        <v>0</v>
      </c>
      <c r="L145" s="16">
        <v>0</v>
      </c>
      <c r="M145" s="16">
        <v>0</v>
      </c>
      <c r="P145" s="19">
        <f t="shared" si="5"/>
        <v>0</v>
      </c>
      <c r="Q145" s="19">
        <f t="shared" si="3"/>
        <v>0</v>
      </c>
      <c r="R145" s="19">
        <f t="shared" si="3"/>
        <v>0</v>
      </c>
      <c r="S145" s="19">
        <f t="shared" si="3"/>
        <v>0</v>
      </c>
      <c r="W145">
        <v>0</v>
      </c>
      <c r="X145">
        <v>0</v>
      </c>
      <c r="Y145">
        <v>0</v>
      </c>
      <c r="Z145">
        <v>0</v>
      </c>
      <c r="AB145" s="19">
        <f t="shared" si="6"/>
        <v>0</v>
      </c>
      <c r="AC145" s="19">
        <f t="shared" si="7"/>
        <v>0</v>
      </c>
      <c r="AD145" s="19">
        <f t="shared" si="8"/>
        <v>0</v>
      </c>
      <c r="AE145" s="19">
        <f t="shared" si="9"/>
        <v>0</v>
      </c>
    </row>
    <row r="146" spans="1:31" x14ac:dyDescent="0.2">
      <c r="B146" s="19">
        <v>0</v>
      </c>
      <c r="C146" s="19">
        <v>0</v>
      </c>
      <c r="D146" s="19">
        <v>0</v>
      </c>
      <c r="E146" s="19">
        <v>0</v>
      </c>
      <c r="J146" s="16">
        <v>0</v>
      </c>
      <c r="K146" s="16">
        <v>0</v>
      </c>
      <c r="L146" s="16">
        <v>0</v>
      </c>
      <c r="M146" s="16">
        <v>1</v>
      </c>
      <c r="P146" s="19">
        <f t="shared" si="5"/>
        <v>0</v>
      </c>
      <c r="Q146" s="19">
        <f t="shared" si="3"/>
        <v>0</v>
      </c>
      <c r="R146" s="19">
        <f t="shared" si="3"/>
        <v>0</v>
      </c>
      <c r="S146" s="19">
        <f t="shared" si="3"/>
        <v>0.05</v>
      </c>
      <c r="W146">
        <v>0</v>
      </c>
      <c r="X146">
        <v>0</v>
      </c>
      <c r="Y146">
        <v>0</v>
      </c>
      <c r="Z146">
        <v>0</v>
      </c>
      <c r="AB146" s="19">
        <f t="shared" si="6"/>
        <v>0</v>
      </c>
      <c r="AC146" s="19">
        <f t="shared" si="7"/>
        <v>0</v>
      </c>
      <c r="AD146" s="19">
        <f t="shared" si="8"/>
        <v>0</v>
      </c>
      <c r="AE146" s="19">
        <f t="shared" si="9"/>
        <v>0</v>
      </c>
    </row>
    <row r="147" spans="1:31" x14ac:dyDescent="0.2">
      <c r="B147" s="19">
        <v>0</v>
      </c>
      <c r="C147" s="19">
        <v>0</v>
      </c>
      <c r="D147" s="19">
        <v>0</v>
      </c>
      <c r="E147" s="19">
        <v>0</v>
      </c>
      <c r="J147" s="16">
        <v>0</v>
      </c>
      <c r="K147" s="16">
        <v>0</v>
      </c>
      <c r="L147" s="16">
        <v>0</v>
      </c>
      <c r="M147" s="16">
        <v>3</v>
      </c>
      <c r="P147" s="19">
        <f t="shared" si="5"/>
        <v>0</v>
      </c>
      <c r="Q147" s="19">
        <f t="shared" si="3"/>
        <v>0</v>
      </c>
      <c r="R147" s="19">
        <f t="shared" si="3"/>
        <v>0</v>
      </c>
      <c r="S147" s="19">
        <f t="shared" si="3"/>
        <v>0.15</v>
      </c>
      <c r="W147">
        <v>0</v>
      </c>
      <c r="X147">
        <v>0</v>
      </c>
      <c r="Y147">
        <v>0</v>
      </c>
      <c r="Z147">
        <v>0</v>
      </c>
      <c r="AB147" s="19">
        <f t="shared" si="6"/>
        <v>0</v>
      </c>
      <c r="AC147" s="19">
        <f t="shared" si="7"/>
        <v>0</v>
      </c>
      <c r="AD147" s="19">
        <f t="shared" si="8"/>
        <v>0</v>
      </c>
      <c r="AE147" s="19">
        <f t="shared" si="9"/>
        <v>0</v>
      </c>
    </row>
    <row r="148" spans="1:31" x14ac:dyDescent="0.2">
      <c r="B148" s="19">
        <v>0</v>
      </c>
      <c r="C148" s="19">
        <v>0</v>
      </c>
      <c r="D148" s="19">
        <v>0</v>
      </c>
      <c r="E148" s="19">
        <v>0</v>
      </c>
      <c r="J148" s="16">
        <v>0</v>
      </c>
      <c r="K148" s="16">
        <v>0</v>
      </c>
      <c r="L148" s="16">
        <v>0</v>
      </c>
      <c r="M148" s="16">
        <v>2</v>
      </c>
      <c r="P148" s="19">
        <f t="shared" si="5"/>
        <v>0</v>
      </c>
      <c r="Q148" s="19">
        <f t="shared" si="3"/>
        <v>0</v>
      </c>
      <c r="R148" s="19">
        <f t="shared" si="3"/>
        <v>0</v>
      </c>
      <c r="S148" s="19">
        <f t="shared" si="3"/>
        <v>0.1</v>
      </c>
      <c r="W148">
        <v>3</v>
      </c>
      <c r="X148">
        <v>3</v>
      </c>
      <c r="Y148">
        <v>3</v>
      </c>
      <c r="Z148">
        <v>0</v>
      </c>
      <c r="AB148" s="19">
        <f t="shared" si="6"/>
        <v>0.15</v>
      </c>
      <c r="AC148" s="19">
        <f t="shared" si="7"/>
        <v>0.15</v>
      </c>
      <c r="AD148" s="19">
        <f t="shared" si="8"/>
        <v>0.15</v>
      </c>
      <c r="AE148" s="19">
        <f t="shared" si="9"/>
        <v>0</v>
      </c>
    </row>
    <row r="149" spans="1:31" x14ac:dyDescent="0.2">
      <c r="B149" s="19">
        <v>0</v>
      </c>
      <c r="C149" s="19">
        <v>0</v>
      </c>
      <c r="D149" s="19">
        <v>0</v>
      </c>
      <c r="E149" s="19">
        <v>0</v>
      </c>
      <c r="J149" s="16">
        <v>2</v>
      </c>
      <c r="K149" s="16">
        <v>3</v>
      </c>
      <c r="L149" s="16">
        <v>0</v>
      </c>
      <c r="M149" s="16">
        <v>2</v>
      </c>
      <c r="P149" s="19">
        <f t="shared" si="5"/>
        <v>0.1</v>
      </c>
      <c r="Q149" s="19">
        <f t="shared" si="3"/>
        <v>0.15</v>
      </c>
      <c r="R149" s="19">
        <f t="shared" si="3"/>
        <v>0</v>
      </c>
      <c r="S149" s="19">
        <f t="shared" si="3"/>
        <v>0.1</v>
      </c>
      <c r="W149">
        <v>20</v>
      </c>
      <c r="X149">
        <v>20</v>
      </c>
      <c r="Y149">
        <v>0</v>
      </c>
      <c r="Z149">
        <v>20</v>
      </c>
      <c r="AB149" s="19">
        <f t="shared" si="6"/>
        <v>1</v>
      </c>
      <c r="AC149" s="19">
        <f t="shared" si="7"/>
        <v>1</v>
      </c>
      <c r="AD149" s="19">
        <f t="shared" si="8"/>
        <v>0</v>
      </c>
      <c r="AE149" s="19">
        <f t="shared" si="9"/>
        <v>1</v>
      </c>
    </row>
    <row r="150" spans="1:31" x14ac:dyDescent="0.2">
      <c r="B150" s="19">
        <v>0</v>
      </c>
      <c r="C150" s="19">
        <v>0</v>
      </c>
      <c r="D150" s="19">
        <v>0</v>
      </c>
      <c r="E150" s="19">
        <v>0</v>
      </c>
      <c r="J150" s="16">
        <v>3</v>
      </c>
      <c r="K150" s="16">
        <v>3</v>
      </c>
      <c r="L150" s="16">
        <v>0</v>
      </c>
      <c r="M150" s="16">
        <v>1</v>
      </c>
      <c r="P150" s="19">
        <f t="shared" si="5"/>
        <v>0.15</v>
      </c>
      <c r="Q150" s="19">
        <f t="shared" si="3"/>
        <v>0.15</v>
      </c>
      <c r="R150" s="19">
        <f t="shared" si="3"/>
        <v>0</v>
      </c>
      <c r="S150" s="19">
        <f t="shared" si="3"/>
        <v>0.05</v>
      </c>
      <c r="W150">
        <v>5</v>
      </c>
      <c r="X150">
        <v>5</v>
      </c>
      <c r="Y150">
        <v>3</v>
      </c>
      <c r="Z150">
        <v>3</v>
      </c>
      <c r="AB150" s="19">
        <f t="shared" si="6"/>
        <v>0.25</v>
      </c>
      <c r="AC150" s="19">
        <f t="shared" si="7"/>
        <v>0.25</v>
      </c>
      <c r="AD150" s="19">
        <f t="shared" si="8"/>
        <v>0.15</v>
      </c>
      <c r="AE150" s="19">
        <f t="shared" si="9"/>
        <v>0.15</v>
      </c>
    </row>
    <row r="151" spans="1:31" x14ac:dyDescent="0.2">
      <c r="B151" s="19">
        <v>0</v>
      </c>
      <c r="C151" s="19">
        <v>0</v>
      </c>
      <c r="D151" s="19">
        <v>0</v>
      </c>
      <c r="E151" s="19">
        <v>0</v>
      </c>
      <c r="J151" s="16">
        <v>8</v>
      </c>
      <c r="K151" s="16">
        <v>20</v>
      </c>
      <c r="L151" s="16">
        <v>0</v>
      </c>
      <c r="M151" s="16">
        <v>20</v>
      </c>
      <c r="P151" s="19">
        <f t="shared" si="5"/>
        <v>0.4</v>
      </c>
      <c r="Q151" s="19">
        <f t="shared" si="3"/>
        <v>1</v>
      </c>
      <c r="R151" s="19">
        <f t="shared" si="3"/>
        <v>0</v>
      </c>
      <c r="S151" s="19">
        <f t="shared" si="3"/>
        <v>1</v>
      </c>
      <c r="W151">
        <v>4</v>
      </c>
      <c r="X151">
        <v>8</v>
      </c>
      <c r="Y151">
        <v>0</v>
      </c>
      <c r="Z151" s="18">
        <v>20</v>
      </c>
      <c r="AB151" s="19">
        <f t="shared" si="6"/>
        <v>0.2</v>
      </c>
      <c r="AC151" s="19">
        <f t="shared" si="7"/>
        <v>0.4</v>
      </c>
      <c r="AD151" s="19">
        <f t="shared" si="8"/>
        <v>0</v>
      </c>
      <c r="AE151" s="19">
        <f t="shared" si="9"/>
        <v>1</v>
      </c>
    </row>
    <row r="152" spans="1:31" x14ac:dyDescent="0.2">
      <c r="B152" s="19">
        <v>0</v>
      </c>
      <c r="C152" s="19">
        <v>0</v>
      </c>
      <c r="D152" s="19">
        <v>0</v>
      </c>
      <c r="E152" s="19">
        <v>0</v>
      </c>
      <c r="J152" s="16">
        <v>0</v>
      </c>
      <c r="K152" s="16">
        <v>10</v>
      </c>
      <c r="L152" s="16">
        <v>0</v>
      </c>
      <c r="M152" s="16">
        <v>20</v>
      </c>
      <c r="P152" s="19">
        <f t="shared" si="5"/>
        <v>0</v>
      </c>
      <c r="Q152" s="19">
        <f t="shared" si="5"/>
        <v>0.5</v>
      </c>
      <c r="R152" s="19">
        <f t="shared" si="5"/>
        <v>0</v>
      </c>
      <c r="S152" s="19">
        <f t="shared" si="5"/>
        <v>1</v>
      </c>
      <c r="W152">
        <v>0</v>
      </c>
      <c r="X152">
        <v>0</v>
      </c>
      <c r="Y152">
        <v>1</v>
      </c>
      <c r="Z152" s="18">
        <v>20</v>
      </c>
      <c r="AB152" s="19">
        <f t="shared" si="6"/>
        <v>0</v>
      </c>
      <c r="AC152" s="19">
        <f t="shared" si="7"/>
        <v>0</v>
      </c>
      <c r="AD152" s="19">
        <f t="shared" si="8"/>
        <v>0.05</v>
      </c>
      <c r="AE152" s="19">
        <f t="shared" si="9"/>
        <v>1</v>
      </c>
    </row>
    <row r="153" spans="1:31" x14ac:dyDescent="0.2">
      <c r="B153" s="19">
        <v>0</v>
      </c>
      <c r="C153" s="19">
        <v>0</v>
      </c>
      <c r="D153" s="19">
        <v>0</v>
      </c>
      <c r="E153" s="19">
        <v>0</v>
      </c>
      <c r="J153" s="16">
        <v>14</v>
      </c>
      <c r="K153" s="16">
        <v>14</v>
      </c>
      <c r="L153" s="16">
        <v>3</v>
      </c>
      <c r="M153" s="16">
        <v>7</v>
      </c>
      <c r="P153" s="19">
        <f t="shared" si="5"/>
        <v>0.7</v>
      </c>
      <c r="Q153" s="19">
        <f t="shared" si="5"/>
        <v>0.7</v>
      </c>
      <c r="R153" s="19">
        <f t="shared" si="5"/>
        <v>0.15</v>
      </c>
      <c r="S153" s="19">
        <f t="shared" si="5"/>
        <v>0.35</v>
      </c>
      <c r="W153">
        <v>2</v>
      </c>
      <c r="X153">
        <v>2</v>
      </c>
      <c r="Y153">
        <v>0</v>
      </c>
      <c r="Z153">
        <v>20</v>
      </c>
      <c r="AB153" s="19">
        <f t="shared" si="6"/>
        <v>0.1</v>
      </c>
      <c r="AC153" s="19">
        <f t="shared" si="7"/>
        <v>0.1</v>
      </c>
      <c r="AD153" s="19">
        <f t="shared" si="8"/>
        <v>0</v>
      </c>
      <c r="AE153" s="19">
        <f t="shared" si="9"/>
        <v>1</v>
      </c>
    </row>
    <row r="154" spans="1:31" x14ac:dyDescent="0.2">
      <c r="B154" s="23">
        <v>0</v>
      </c>
      <c r="C154" s="23">
        <v>0</v>
      </c>
      <c r="D154" s="19">
        <v>0</v>
      </c>
      <c r="E154" s="19">
        <v>0</v>
      </c>
      <c r="J154" s="16">
        <v>3</v>
      </c>
      <c r="K154" s="16">
        <v>3</v>
      </c>
      <c r="L154" s="16">
        <v>1</v>
      </c>
      <c r="M154" s="16">
        <v>2</v>
      </c>
      <c r="P154" s="19">
        <f t="shared" si="5"/>
        <v>0.15</v>
      </c>
      <c r="Q154" s="19">
        <f t="shared" si="5"/>
        <v>0.15</v>
      </c>
      <c r="R154" s="19">
        <f t="shared" si="5"/>
        <v>0.05</v>
      </c>
      <c r="S154" s="19">
        <f t="shared" si="5"/>
        <v>0.1</v>
      </c>
      <c r="W154">
        <v>6</v>
      </c>
      <c r="X154">
        <v>6</v>
      </c>
      <c r="Y154">
        <v>6</v>
      </c>
      <c r="Z154">
        <v>6</v>
      </c>
      <c r="AB154" s="19">
        <f t="shared" si="6"/>
        <v>0.3</v>
      </c>
      <c r="AC154" s="19">
        <f t="shared" si="7"/>
        <v>0.3</v>
      </c>
      <c r="AD154" s="19">
        <f t="shared" si="8"/>
        <v>0.3</v>
      </c>
      <c r="AE154" s="19">
        <f t="shared" si="9"/>
        <v>0.3</v>
      </c>
    </row>
    <row r="155" spans="1:31" x14ac:dyDescent="0.2">
      <c r="B155" s="23">
        <v>0</v>
      </c>
      <c r="C155" s="23">
        <v>0</v>
      </c>
      <c r="D155" s="19">
        <v>0</v>
      </c>
      <c r="E155" s="19">
        <v>0.05</v>
      </c>
      <c r="J155" s="16">
        <v>0</v>
      </c>
      <c r="K155" s="16">
        <v>4</v>
      </c>
      <c r="L155" s="16">
        <v>0</v>
      </c>
      <c r="M155" s="16">
        <v>20</v>
      </c>
      <c r="P155" s="19">
        <f t="shared" si="5"/>
        <v>0</v>
      </c>
      <c r="Q155" s="19">
        <f t="shared" si="5"/>
        <v>0.2</v>
      </c>
      <c r="R155" s="19">
        <f t="shared" si="5"/>
        <v>0</v>
      </c>
      <c r="S155" s="19">
        <f t="shared" si="5"/>
        <v>1</v>
      </c>
      <c r="W155">
        <v>3</v>
      </c>
      <c r="X155">
        <v>5</v>
      </c>
      <c r="Y155">
        <v>2</v>
      </c>
      <c r="Z155" s="18">
        <v>20</v>
      </c>
      <c r="AB155" s="19">
        <f t="shared" si="6"/>
        <v>0.15</v>
      </c>
      <c r="AC155" s="19">
        <f t="shared" si="7"/>
        <v>0.25</v>
      </c>
      <c r="AD155" s="19">
        <f t="shared" si="8"/>
        <v>0.1</v>
      </c>
      <c r="AE155" s="19">
        <f t="shared" si="9"/>
        <v>1</v>
      </c>
    </row>
    <row r="156" spans="1:31" x14ac:dyDescent="0.2">
      <c r="B156" s="23">
        <v>0</v>
      </c>
      <c r="C156" s="23">
        <v>0</v>
      </c>
      <c r="D156" s="19">
        <v>0</v>
      </c>
      <c r="E156" s="19">
        <v>0</v>
      </c>
      <c r="I156" s="3"/>
      <c r="J156" s="16">
        <v>1</v>
      </c>
      <c r="K156" s="16">
        <v>1</v>
      </c>
      <c r="L156" s="16">
        <v>0</v>
      </c>
      <c r="M156" s="16">
        <v>0</v>
      </c>
      <c r="P156" s="19">
        <f t="shared" si="5"/>
        <v>0.05</v>
      </c>
      <c r="Q156" s="19">
        <f t="shared" si="5"/>
        <v>0.05</v>
      </c>
      <c r="R156" s="19">
        <f t="shared" si="5"/>
        <v>0</v>
      </c>
      <c r="S156" s="19">
        <f t="shared" si="5"/>
        <v>0</v>
      </c>
      <c r="W156">
        <v>18</v>
      </c>
      <c r="X156">
        <v>18</v>
      </c>
      <c r="Y156">
        <v>18</v>
      </c>
      <c r="Z156">
        <v>18</v>
      </c>
      <c r="AB156" s="19">
        <f t="shared" si="6"/>
        <v>0.9</v>
      </c>
      <c r="AC156" s="19">
        <f t="shared" si="7"/>
        <v>0.9</v>
      </c>
      <c r="AD156" s="19">
        <f t="shared" si="8"/>
        <v>0.9</v>
      </c>
      <c r="AE156" s="19">
        <f t="shared" si="9"/>
        <v>0.9</v>
      </c>
    </row>
    <row r="157" spans="1:31" x14ac:dyDescent="0.2">
      <c r="B157" s="23">
        <v>0</v>
      </c>
      <c r="C157" s="23">
        <v>0</v>
      </c>
      <c r="D157" s="19">
        <v>0</v>
      </c>
      <c r="E157" s="19">
        <v>0</v>
      </c>
      <c r="J157" s="16">
        <v>0</v>
      </c>
      <c r="K157" s="16">
        <v>0</v>
      </c>
      <c r="L157" s="16">
        <v>0</v>
      </c>
      <c r="M157" s="16">
        <v>1</v>
      </c>
      <c r="P157" s="19">
        <f t="shared" si="5"/>
        <v>0</v>
      </c>
      <c r="Q157" s="19">
        <f t="shared" si="5"/>
        <v>0</v>
      </c>
      <c r="R157" s="19">
        <f t="shared" si="5"/>
        <v>0</v>
      </c>
      <c r="S157" s="19">
        <f t="shared" si="5"/>
        <v>0.05</v>
      </c>
      <c r="W157">
        <v>14</v>
      </c>
      <c r="X157">
        <v>16</v>
      </c>
      <c r="Y157">
        <v>13</v>
      </c>
      <c r="Z157">
        <v>13</v>
      </c>
      <c r="AB157" s="19">
        <f t="shared" si="6"/>
        <v>0.7</v>
      </c>
      <c r="AC157" s="19">
        <f t="shared" si="7"/>
        <v>0.8</v>
      </c>
      <c r="AD157" s="19">
        <f t="shared" si="8"/>
        <v>0.65</v>
      </c>
      <c r="AE157" s="19">
        <f t="shared" si="9"/>
        <v>0.65</v>
      </c>
    </row>
    <row r="158" spans="1:31" x14ac:dyDescent="0.2">
      <c r="A158" s="3"/>
      <c r="B158" s="32">
        <v>0</v>
      </c>
      <c r="C158" s="32">
        <v>0</v>
      </c>
      <c r="D158" s="32">
        <v>0</v>
      </c>
      <c r="E158" s="32">
        <v>0</v>
      </c>
      <c r="J158" s="33">
        <v>0</v>
      </c>
      <c r="K158" s="33">
        <v>0</v>
      </c>
      <c r="L158" s="33">
        <v>0</v>
      </c>
      <c r="M158" s="33">
        <v>0</v>
      </c>
      <c r="P158" s="19">
        <f t="shared" si="5"/>
        <v>0</v>
      </c>
      <c r="Q158" s="19">
        <f t="shared" si="5"/>
        <v>0</v>
      </c>
      <c r="R158" s="19">
        <f t="shared" si="5"/>
        <v>0</v>
      </c>
      <c r="S158" s="19">
        <f t="shared" si="5"/>
        <v>0</v>
      </c>
      <c r="V158" s="3"/>
      <c r="W158" s="3">
        <v>0</v>
      </c>
      <c r="X158" s="3">
        <v>0</v>
      </c>
      <c r="Y158" s="3">
        <v>0</v>
      </c>
      <c r="Z158" s="3">
        <v>0</v>
      </c>
      <c r="AB158" s="19">
        <f t="shared" si="6"/>
        <v>0</v>
      </c>
      <c r="AC158" s="19">
        <f t="shared" si="7"/>
        <v>0</v>
      </c>
      <c r="AD158" s="19">
        <f t="shared" si="8"/>
        <v>0</v>
      </c>
      <c r="AE158" s="19">
        <f t="shared" si="9"/>
        <v>0</v>
      </c>
    </row>
    <row r="159" spans="1:31" x14ac:dyDescent="0.2">
      <c r="B159" s="23">
        <v>0.05</v>
      </c>
      <c r="C159" s="23">
        <v>0.05</v>
      </c>
      <c r="D159" s="19">
        <v>0</v>
      </c>
      <c r="E159" s="19">
        <v>0.05</v>
      </c>
      <c r="I159" s="3"/>
      <c r="J159" s="16">
        <v>0</v>
      </c>
      <c r="K159" s="16">
        <v>0</v>
      </c>
      <c r="L159" s="16">
        <v>0</v>
      </c>
      <c r="M159" s="16">
        <v>2</v>
      </c>
      <c r="P159" s="19">
        <f t="shared" si="5"/>
        <v>0</v>
      </c>
      <c r="Q159" s="19">
        <f t="shared" si="5"/>
        <v>0</v>
      </c>
      <c r="R159" s="19">
        <f t="shared" si="5"/>
        <v>0</v>
      </c>
      <c r="S159" s="19">
        <f t="shared" si="5"/>
        <v>0.1</v>
      </c>
      <c r="W159">
        <v>20</v>
      </c>
      <c r="X159">
        <v>20</v>
      </c>
      <c r="Y159">
        <v>20</v>
      </c>
      <c r="Z159">
        <v>20</v>
      </c>
      <c r="AB159" s="19">
        <f t="shared" si="6"/>
        <v>1</v>
      </c>
      <c r="AC159" s="19">
        <f t="shared" si="7"/>
        <v>1</v>
      </c>
      <c r="AD159" s="19">
        <f t="shared" si="8"/>
        <v>1</v>
      </c>
      <c r="AE159" s="19">
        <f t="shared" si="9"/>
        <v>1</v>
      </c>
    </row>
    <row r="160" spans="1:31" x14ac:dyDescent="0.2">
      <c r="B160" s="23">
        <v>0</v>
      </c>
      <c r="C160" s="23">
        <v>0</v>
      </c>
      <c r="D160" s="19">
        <v>0</v>
      </c>
      <c r="E160" s="19">
        <v>0</v>
      </c>
      <c r="J160" s="16">
        <v>0</v>
      </c>
      <c r="K160" s="16">
        <v>0</v>
      </c>
      <c r="L160" s="16">
        <v>0</v>
      </c>
      <c r="M160" s="16">
        <v>0</v>
      </c>
      <c r="P160" s="19">
        <f t="shared" si="5"/>
        <v>0</v>
      </c>
      <c r="Q160" s="19">
        <f t="shared" si="5"/>
        <v>0</v>
      </c>
      <c r="R160" s="19">
        <f t="shared" si="5"/>
        <v>0</v>
      </c>
      <c r="S160" s="19">
        <f t="shared" si="5"/>
        <v>0</v>
      </c>
      <c r="W160">
        <v>0</v>
      </c>
      <c r="X160">
        <v>0</v>
      </c>
      <c r="Y160" s="18">
        <v>20</v>
      </c>
      <c r="Z160">
        <v>20</v>
      </c>
      <c r="AB160" s="19">
        <f t="shared" si="6"/>
        <v>0</v>
      </c>
      <c r="AC160" s="19">
        <f t="shared" si="7"/>
        <v>0</v>
      </c>
      <c r="AD160" s="19">
        <f t="shared" si="8"/>
        <v>1</v>
      </c>
      <c r="AE160" s="19">
        <f t="shared" si="9"/>
        <v>1</v>
      </c>
    </row>
    <row r="161" spans="1:31" x14ac:dyDescent="0.2">
      <c r="B161" s="23">
        <v>0.1</v>
      </c>
      <c r="C161" s="23">
        <v>0.1</v>
      </c>
      <c r="D161" s="19">
        <v>0</v>
      </c>
      <c r="E161" s="19">
        <v>0.15</v>
      </c>
      <c r="J161" s="16">
        <v>15</v>
      </c>
      <c r="K161" s="16">
        <v>15</v>
      </c>
      <c r="L161" s="16">
        <v>0</v>
      </c>
      <c r="M161" s="16">
        <v>1</v>
      </c>
      <c r="P161" s="19">
        <f t="shared" si="5"/>
        <v>0.75</v>
      </c>
      <c r="Q161" s="19">
        <f t="shared" si="5"/>
        <v>0.75</v>
      </c>
      <c r="R161" s="19">
        <f t="shared" si="5"/>
        <v>0</v>
      </c>
      <c r="S161" s="19">
        <f t="shared" si="5"/>
        <v>0.05</v>
      </c>
      <c r="W161">
        <v>20</v>
      </c>
      <c r="X161">
        <v>20</v>
      </c>
      <c r="Y161">
        <v>19</v>
      </c>
      <c r="Z161">
        <v>20</v>
      </c>
      <c r="AB161" s="19">
        <f t="shared" si="6"/>
        <v>1</v>
      </c>
      <c r="AC161" s="19">
        <f t="shared" si="7"/>
        <v>1</v>
      </c>
      <c r="AD161" s="19">
        <f t="shared" si="8"/>
        <v>0.95</v>
      </c>
      <c r="AE161" s="19">
        <f t="shared" si="9"/>
        <v>1</v>
      </c>
    </row>
    <row r="162" spans="1:31" x14ac:dyDescent="0.2">
      <c r="B162" s="23">
        <v>0</v>
      </c>
      <c r="C162" s="23">
        <v>0</v>
      </c>
      <c r="D162" s="19">
        <v>0</v>
      </c>
      <c r="E162" s="19">
        <v>0</v>
      </c>
      <c r="J162" s="16">
        <v>20</v>
      </c>
      <c r="K162" s="16">
        <v>20</v>
      </c>
      <c r="L162" s="16">
        <v>0</v>
      </c>
      <c r="M162" s="16">
        <v>0</v>
      </c>
      <c r="P162" s="19">
        <f t="shared" si="5"/>
        <v>1</v>
      </c>
      <c r="Q162" s="19">
        <f t="shared" si="5"/>
        <v>1</v>
      </c>
      <c r="R162" s="19">
        <f t="shared" si="5"/>
        <v>0</v>
      </c>
      <c r="S162" s="19">
        <f t="shared" si="5"/>
        <v>0</v>
      </c>
      <c r="W162">
        <v>20</v>
      </c>
      <c r="X162">
        <v>20</v>
      </c>
      <c r="Y162">
        <v>19</v>
      </c>
      <c r="Z162">
        <v>19</v>
      </c>
      <c r="AB162" s="19">
        <f t="shared" si="6"/>
        <v>1</v>
      </c>
      <c r="AC162" s="19">
        <f t="shared" si="7"/>
        <v>1</v>
      </c>
      <c r="AD162" s="19">
        <f t="shared" si="8"/>
        <v>0.95</v>
      </c>
      <c r="AE162" s="19">
        <f t="shared" si="9"/>
        <v>0.95</v>
      </c>
    </row>
    <row r="163" spans="1:31" x14ac:dyDescent="0.2">
      <c r="B163" s="23">
        <v>0</v>
      </c>
      <c r="C163" s="23">
        <v>0</v>
      </c>
      <c r="D163" s="19">
        <v>0</v>
      </c>
      <c r="E163" s="19">
        <v>0</v>
      </c>
      <c r="J163" s="16">
        <v>11</v>
      </c>
      <c r="K163" s="16">
        <v>11</v>
      </c>
      <c r="L163" s="16">
        <v>8</v>
      </c>
      <c r="M163" s="16">
        <v>10</v>
      </c>
      <c r="P163" s="19">
        <f t="shared" si="5"/>
        <v>0.55000000000000004</v>
      </c>
      <c r="Q163" s="19">
        <f t="shared" si="5"/>
        <v>0.55000000000000004</v>
      </c>
      <c r="R163" s="19">
        <f t="shared" si="5"/>
        <v>0.4</v>
      </c>
      <c r="S163" s="19">
        <f t="shared" si="5"/>
        <v>0.5</v>
      </c>
      <c r="W163">
        <v>20</v>
      </c>
      <c r="X163">
        <v>20</v>
      </c>
      <c r="Y163">
        <v>19</v>
      </c>
      <c r="Z163">
        <v>20</v>
      </c>
      <c r="AB163" s="19">
        <f t="shared" si="6"/>
        <v>1</v>
      </c>
      <c r="AC163" s="19">
        <f t="shared" si="7"/>
        <v>1</v>
      </c>
      <c r="AD163" s="19">
        <f t="shared" si="8"/>
        <v>0.95</v>
      </c>
      <c r="AE163" s="19">
        <f t="shared" si="9"/>
        <v>1</v>
      </c>
    </row>
    <row r="164" spans="1:31" x14ac:dyDescent="0.2">
      <c r="A164" s="3"/>
      <c r="B164" s="32">
        <v>0</v>
      </c>
      <c r="C164" s="32">
        <v>0</v>
      </c>
      <c r="D164" s="32">
        <v>0</v>
      </c>
      <c r="E164" s="32">
        <v>0</v>
      </c>
      <c r="J164" s="33">
        <v>0</v>
      </c>
      <c r="K164" s="33">
        <v>0</v>
      </c>
      <c r="L164" s="33">
        <v>1</v>
      </c>
      <c r="M164" s="33">
        <v>2</v>
      </c>
      <c r="P164" s="19">
        <f t="shared" si="5"/>
        <v>0</v>
      </c>
      <c r="Q164" s="19">
        <f t="shared" si="5"/>
        <v>0</v>
      </c>
      <c r="R164" s="19">
        <f t="shared" si="5"/>
        <v>0.05</v>
      </c>
      <c r="S164" s="19">
        <f t="shared" si="5"/>
        <v>0.1</v>
      </c>
      <c r="V164" s="3"/>
      <c r="W164" s="3">
        <v>0</v>
      </c>
      <c r="X164" s="3">
        <v>2</v>
      </c>
      <c r="Y164" s="3">
        <v>0</v>
      </c>
      <c r="Z164" s="3">
        <v>0</v>
      </c>
      <c r="AB164" s="19">
        <f t="shared" si="6"/>
        <v>0</v>
      </c>
      <c r="AC164" s="19">
        <f t="shared" si="7"/>
        <v>0.1</v>
      </c>
      <c r="AD164" s="19">
        <f t="shared" si="8"/>
        <v>0</v>
      </c>
      <c r="AE164" s="19">
        <f t="shared" si="9"/>
        <v>0</v>
      </c>
    </row>
    <row r="165" spans="1:31" x14ac:dyDescent="0.2">
      <c r="A165" s="3"/>
      <c r="B165" s="32">
        <v>0</v>
      </c>
      <c r="C165" s="32">
        <v>0</v>
      </c>
      <c r="D165" s="32">
        <v>0</v>
      </c>
      <c r="E165" s="32">
        <v>0</v>
      </c>
      <c r="I165" s="3"/>
      <c r="J165" s="33">
        <v>0</v>
      </c>
      <c r="K165" s="33">
        <v>0</v>
      </c>
      <c r="L165" s="33">
        <v>0</v>
      </c>
      <c r="M165" s="33">
        <v>0</v>
      </c>
      <c r="P165" s="19">
        <f t="shared" si="5"/>
        <v>0</v>
      </c>
      <c r="Q165" s="19">
        <f t="shared" si="5"/>
        <v>0</v>
      </c>
      <c r="R165" s="19">
        <f t="shared" si="5"/>
        <v>0</v>
      </c>
      <c r="S165" s="19">
        <f t="shared" si="5"/>
        <v>0</v>
      </c>
      <c r="V165" s="3"/>
      <c r="W165" s="3">
        <v>0</v>
      </c>
      <c r="X165" s="3">
        <v>0</v>
      </c>
      <c r="Y165" s="3">
        <v>0</v>
      </c>
      <c r="Z165" s="3">
        <v>0</v>
      </c>
      <c r="AB165" s="19">
        <f t="shared" si="6"/>
        <v>0</v>
      </c>
      <c r="AC165" s="19">
        <f t="shared" si="7"/>
        <v>0</v>
      </c>
      <c r="AD165" s="19">
        <f t="shared" si="8"/>
        <v>0</v>
      </c>
      <c r="AE165" s="19">
        <f t="shared" si="9"/>
        <v>0</v>
      </c>
    </row>
    <row r="166" spans="1:31" x14ac:dyDescent="0.2">
      <c r="A166" s="3"/>
      <c r="B166" s="32">
        <v>0</v>
      </c>
      <c r="C166" s="32">
        <v>0</v>
      </c>
      <c r="D166" s="32">
        <v>0</v>
      </c>
      <c r="E166" s="32">
        <v>0</v>
      </c>
      <c r="I166" s="3"/>
      <c r="J166" s="33">
        <v>0</v>
      </c>
      <c r="K166" s="33">
        <v>0</v>
      </c>
      <c r="L166" s="33">
        <v>0</v>
      </c>
      <c r="M166" s="33">
        <v>0</v>
      </c>
      <c r="P166" s="19">
        <f t="shared" si="5"/>
        <v>0</v>
      </c>
      <c r="Q166" s="19">
        <f t="shared" si="5"/>
        <v>0</v>
      </c>
      <c r="R166" s="19">
        <f t="shared" si="5"/>
        <v>0</v>
      </c>
      <c r="S166" s="19">
        <f t="shared" si="5"/>
        <v>0</v>
      </c>
      <c r="V166" s="3"/>
      <c r="W166" s="3">
        <v>0</v>
      </c>
      <c r="X166" s="3">
        <v>0</v>
      </c>
      <c r="Y166" s="3">
        <v>0</v>
      </c>
      <c r="Z166" s="3">
        <v>0</v>
      </c>
      <c r="AB166" s="19">
        <f t="shared" si="6"/>
        <v>0</v>
      </c>
      <c r="AC166" s="19">
        <f t="shared" si="7"/>
        <v>0</v>
      </c>
      <c r="AD166" s="19">
        <f t="shared" si="8"/>
        <v>0</v>
      </c>
      <c r="AE166" s="19">
        <f t="shared" si="9"/>
        <v>0</v>
      </c>
    </row>
    <row r="167" spans="1:31" x14ac:dyDescent="0.2">
      <c r="B167" s="22">
        <v>0</v>
      </c>
      <c r="C167" s="22">
        <v>0</v>
      </c>
      <c r="D167" s="22">
        <v>0</v>
      </c>
      <c r="E167" s="22">
        <v>0</v>
      </c>
      <c r="I167" s="3"/>
      <c r="J167" s="34">
        <v>0</v>
      </c>
      <c r="K167" s="16">
        <v>0</v>
      </c>
      <c r="L167" s="34">
        <v>0</v>
      </c>
      <c r="M167" s="34">
        <v>2</v>
      </c>
      <c r="P167" s="19">
        <f t="shared" si="5"/>
        <v>0</v>
      </c>
      <c r="Q167" s="19">
        <f t="shared" si="5"/>
        <v>0</v>
      </c>
      <c r="R167" s="19">
        <f t="shared" si="5"/>
        <v>0</v>
      </c>
      <c r="S167" s="19">
        <f t="shared" si="5"/>
        <v>0.1</v>
      </c>
      <c r="W167">
        <v>0</v>
      </c>
      <c r="X167">
        <v>0</v>
      </c>
      <c r="Y167" s="20">
        <v>20</v>
      </c>
      <c r="Z167" s="17">
        <v>20</v>
      </c>
      <c r="AB167" s="19">
        <f t="shared" si="6"/>
        <v>0</v>
      </c>
      <c r="AC167" s="19">
        <f t="shared" si="7"/>
        <v>0</v>
      </c>
      <c r="AD167" s="19">
        <f t="shared" si="8"/>
        <v>1</v>
      </c>
      <c r="AE167" s="19">
        <f t="shared" si="9"/>
        <v>1</v>
      </c>
    </row>
    <row r="168" spans="1:31" x14ac:dyDescent="0.2">
      <c r="A168" s="3"/>
      <c r="B168" s="32">
        <v>0</v>
      </c>
      <c r="C168" s="32">
        <v>0</v>
      </c>
      <c r="D168" s="32">
        <v>0</v>
      </c>
      <c r="E168" s="32">
        <v>0</v>
      </c>
      <c r="J168" s="33">
        <v>0</v>
      </c>
      <c r="K168" s="33">
        <v>0</v>
      </c>
      <c r="L168" s="33">
        <v>0</v>
      </c>
      <c r="M168" s="33">
        <v>0</v>
      </c>
      <c r="P168" s="19">
        <f t="shared" si="5"/>
        <v>0</v>
      </c>
      <c r="Q168" s="19">
        <f t="shared" si="5"/>
        <v>0</v>
      </c>
      <c r="R168" s="19">
        <f t="shared" si="5"/>
        <v>0</v>
      </c>
      <c r="S168" s="19">
        <f t="shared" si="5"/>
        <v>0</v>
      </c>
      <c r="V168" s="3"/>
      <c r="W168" s="3">
        <v>0</v>
      </c>
      <c r="X168" s="3">
        <v>0</v>
      </c>
      <c r="Y168" s="3">
        <v>0</v>
      </c>
      <c r="Z168" s="3">
        <v>0</v>
      </c>
      <c r="AB168" s="19">
        <f t="shared" si="6"/>
        <v>0</v>
      </c>
      <c r="AC168" s="19">
        <f t="shared" si="7"/>
        <v>0</v>
      </c>
      <c r="AD168" s="19">
        <f t="shared" si="8"/>
        <v>0</v>
      </c>
      <c r="AE168" s="19">
        <f t="shared" si="9"/>
        <v>0</v>
      </c>
    </row>
    <row r="169" spans="1:31" x14ac:dyDescent="0.2">
      <c r="B169" s="23">
        <v>0</v>
      </c>
      <c r="C169" s="23">
        <v>0</v>
      </c>
      <c r="D169" s="22">
        <v>0</v>
      </c>
      <c r="E169" s="22">
        <v>0</v>
      </c>
      <c r="I169" s="3"/>
      <c r="J169" s="16">
        <v>3</v>
      </c>
      <c r="K169" s="16">
        <v>3</v>
      </c>
      <c r="L169" s="34">
        <v>1</v>
      </c>
      <c r="M169" s="34">
        <v>2</v>
      </c>
      <c r="P169" s="19">
        <f t="shared" si="5"/>
        <v>0.15</v>
      </c>
      <c r="Q169" s="19">
        <f t="shared" si="5"/>
        <v>0.15</v>
      </c>
      <c r="R169" s="19">
        <f t="shared" si="5"/>
        <v>0.05</v>
      </c>
      <c r="S169" s="19">
        <f t="shared" si="5"/>
        <v>0.1</v>
      </c>
      <c r="W169" s="17">
        <v>20</v>
      </c>
      <c r="X169" s="17">
        <v>20</v>
      </c>
      <c r="Y169" s="3">
        <v>0</v>
      </c>
      <c r="Z169" s="3">
        <v>20</v>
      </c>
      <c r="AB169" s="19">
        <f t="shared" si="6"/>
        <v>1</v>
      </c>
      <c r="AC169" s="19">
        <f t="shared" si="7"/>
        <v>1</v>
      </c>
      <c r="AD169" s="19">
        <f t="shared" si="8"/>
        <v>0</v>
      </c>
      <c r="AE169" s="19">
        <f t="shared" si="9"/>
        <v>1</v>
      </c>
    </row>
    <row r="170" spans="1:31" x14ac:dyDescent="0.2">
      <c r="A170" s="3"/>
      <c r="B170" s="32">
        <v>0</v>
      </c>
      <c r="C170" s="32">
        <v>0</v>
      </c>
      <c r="D170" s="32">
        <v>0.05</v>
      </c>
      <c r="E170" s="32">
        <v>0.1</v>
      </c>
      <c r="J170" s="33">
        <v>0</v>
      </c>
      <c r="K170" s="33">
        <v>0</v>
      </c>
      <c r="L170" s="33">
        <v>0</v>
      </c>
      <c r="M170" s="33">
        <v>0</v>
      </c>
      <c r="P170" s="19">
        <f t="shared" si="5"/>
        <v>0</v>
      </c>
      <c r="Q170" s="19">
        <f t="shared" si="5"/>
        <v>0</v>
      </c>
      <c r="R170" s="19">
        <f t="shared" si="5"/>
        <v>0</v>
      </c>
      <c r="S170" s="19">
        <f t="shared" si="5"/>
        <v>0</v>
      </c>
      <c r="V170" s="3"/>
      <c r="W170" s="3">
        <v>0</v>
      </c>
      <c r="X170" s="3">
        <v>0</v>
      </c>
      <c r="Y170" s="3">
        <v>0</v>
      </c>
      <c r="Z170" s="3">
        <v>0</v>
      </c>
      <c r="AB170" s="19">
        <f t="shared" si="6"/>
        <v>0</v>
      </c>
      <c r="AC170" s="19">
        <f t="shared" si="7"/>
        <v>0</v>
      </c>
      <c r="AD170" s="19">
        <f t="shared" si="8"/>
        <v>0</v>
      </c>
      <c r="AE170" s="19">
        <f t="shared" si="9"/>
        <v>0</v>
      </c>
    </row>
    <row r="171" spans="1:31" x14ac:dyDescent="0.2">
      <c r="B171" s="23">
        <v>0.05</v>
      </c>
      <c r="C171" s="23">
        <v>0.05</v>
      </c>
      <c r="D171" s="22">
        <v>0</v>
      </c>
      <c r="E171" s="22">
        <v>0.05</v>
      </c>
      <c r="I171" s="3"/>
      <c r="J171" s="16">
        <v>0</v>
      </c>
      <c r="K171" s="16">
        <v>0</v>
      </c>
      <c r="L171" s="34">
        <v>0</v>
      </c>
      <c r="M171" s="34">
        <v>1</v>
      </c>
      <c r="P171" s="19">
        <f t="shared" si="5"/>
        <v>0</v>
      </c>
      <c r="Q171" s="19">
        <f t="shared" si="5"/>
        <v>0</v>
      </c>
      <c r="R171" s="19">
        <f t="shared" si="5"/>
        <v>0</v>
      </c>
      <c r="S171" s="19">
        <f t="shared" si="5"/>
        <v>0.05</v>
      </c>
      <c r="W171">
        <v>20</v>
      </c>
      <c r="X171">
        <v>20</v>
      </c>
      <c r="Y171">
        <v>20</v>
      </c>
      <c r="Z171">
        <v>20</v>
      </c>
      <c r="AB171" s="19">
        <f t="shared" si="6"/>
        <v>1</v>
      </c>
      <c r="AC171" s="19">
        <f t="shared" si="7"/>
        <v>1</v>
      </c>
      <c r="AD171" s="19">
        <f t="shared" si="8"/>
        <v>1</v>
      </c>
      <c r="AE171" s="19">
        <f t="shared" si="9"/>
        <v>1</v>
      </c>
    </row>
    <row r="172" spans="1:31" x14ac:dyDescent="0.2">
      <c r="A172" s="3" t="s">
        <v>147</v>
      </c>
      <c r="B172" s="23">
        <v>0</v>
      </c>
      <c r="C172" s="23">
        <v>0</v>
      </c>
      <c r="D172" s="36">
        <v>0</v>
      </c>
      <c r="E172" s="22">
        <v>0</v>
      </c>
      <c r="J172" s="16">
        <v>0</v>
      </c>
      <c r="K172" s="16">
        <v>0</v>
      </c>
      <c r="L172" s="35">
        <v>0</v>
      </c>
      <c r="M172" s="34">
        <v>0</v>
      </c>
      <c r="P172" s="19">
        <f t="shared" si="5"/>
        <v>0</v>
      </c>
      <c r="Q172" s="19">
        <f t="shared" si="5"/>
        <v>0</v>
      </c>
      <c r="R172" s="19">
        <f t="shared" si="5"/>
        <v>0</v>
      </c>
      <c r="S172" s="19">
        <f t="shared" si="5"/>
        <v>0</v>
      </c>
      <c r="W172">
        <v>0</v>
      </c>
      <c r="X172">
        <v>0</v>
      </c>
      <c r="Y172" s="6">
        <v>0</v>
      </c>
      <c r="Z172">
        <v>0</v>
      </c>
      <c r="AB172" s="19">
        <f t="shared" si="6"/>
        <v>0</v>
      </c>
      <c r="AC172" s="19">
        <f t="shared" si="7"/>
        <v>0</v>
      </c>
      <c r="AD172" s="19">
        <f t="shared" si="8"/>
        <v>0</v>
      </c>
      <c r="AE172" s="19">
        <f t="shared" si="9"/>
        <v>0</v>
      </c>
    </row>
    <row r="173" spans="1:31" x14ac:dyDescent="0.2">
      <c r="B173" s="23">
        <v>0</v>
      </c>
      <c r="C173" s="23">
        <v>0</v>
      </c>
      <c r="D173" s="36">
        <v>0</v>
      </c>
      <c r="E173" s="22">
        <v>0</v>
      </c>
      <c r="I173" s="3" t="s">
        <v>147</v>
      </c>
      <c r="J173" s="16">
        <v>0</v>
      </c>
      <c r="K173" s="16">
        <v>0</v>
      </c>
      <c r="L173" s="35">
        <v>0</v>
      </c>
      <c r="M173" s="34">
        <v>0</v>
      </c>
      <c r="O173" s="3" t="s">
        <v>147</v>
      </c>
      <c r="P173" s="19">
        <f t="shared" si="5"/>
        <v>0</v>
      </c>
      <c r="Q173" s="19">
        <f t="shared" si="5"/>
        <v>0</v>
      </c>
      <c r="R173" s="19">
        <f t="shared" si="5"/>
        <v>0</v>
      </c>
      <c r="S173" s="19">
        <f t="shared" si="5"/>
        <v>0</v>
      </c>
      <c r="W173">
        <v>0</v>
      </c>
      <c r="X173">
        <v>0</v>
      </c>
      <c r="Y173" s="6">
        <v>0</v>
      </c>
      <c r="Z173">
        <v>0</v>
      </c>
      <c r="AB173" s="19">
        <f t="shared" si="6"/>
        <v>0</v>
      </c>
      <c r="AC173" s="19">
        <f t="shared" si="7"/>
        <v>0</v>
      </c>
      <c r="AD173" s="19">
        <f t="shared" si="8"/>
        <v>0</v>
      </c>
      <c r="AE173" s="19">
        <f t="shared" si="9"/>
        <v>0</v>
      </c>
    </row>
    <row r="174" spans="1:31" x14ac:dyDescent="0.2">
      <c r="B174" s="32">
        <v>0</v>
      </c>
      <c r="C174" s="23">
        <v>0</v>
      </c>
      <c r="D174" s="36">
        <v>0</v>
      </c>
      <c r="E174" s="22">
        <v>0</v>
      </c>
      <c r="J174" s="33">
        <v>0</v>
      </c>
      <c r="K174" s="16">
        <v>0</v>
      </c>
      <c r="L174" s="35">
        <v>0</v>
      </c>
      <c r="M174" s="34">
        <v>0</v>
      </c>
      <c r="P174" s="19">
        <f t="shared" si="5"/>
        <v>0</v>
      </c>
      <c r="Q174" s="19">
        <f t="shared" si="5"/>
        <v>0</v>
      </c>
      <c r="R174" s="19">
        <f t="shared" si="5"/>
        <v>0</v>
      </c>
      <c r="S174" s="19">
        <f t="shared" si="5"/>
        <v>0</v>
      </c>
      <c r="W174">
        <v>20</v>
      </c>
      <c r="X174">
        <v>20</v>
      </c>
      <c r="Y174" s="5">
        <v>20</v>
      </c>
      <c r="Z174">
        <v>20</v>
      </c>
      <c r="AB174" s="19">
        <f t="shared" si="6"/>
        <v>1</v>
      </c>
      <c r="AC174" s="19">
        <f t="shared" si="7"/>
        <v>1</v>
      </c>
      <c r="AD174" s="19">
        <f t="shared" si="8"/>
        <v>1</v>
      </c>
      <c r="AE174" s="19">
        <f t="shared" si="9"/>
        <v>1</v>
      </c>
    </row>
    <row r="175" spans="1:31" x14ac:dyDescent="0.2">
      <c r="B175" s="23">
        <v>0</v>
      </c>
      <c r="C175" s="23">
        <v>0</v>
      </c>
      <c r="D175" s="36">
        <v>0</v>
      </c>
      <c r="E175" s="22">
        <v>0</v>
      </c>
      <c r="J175" s="16">
        <v>0</v>
      </c>
      <c r="K175" s="16">
        <v>0</v>
      </c>
      <c r="L175" s="35">
        <v>0</v>
      </c>
      <c r="M175" s="34">
        <v>0</v>
      </c>
      <c r="P175" s="19">
        <f t="shared" si="5"/>
        <v>0</v>
      </c>
      <c r="Q175" s="19">
        <f t="shared" si="5"/>
        <v>0</v>
      </c>
      <c r="R175" s="19">
        <f t="shared" si="5"/>
        <v>0</v>
      </c>
      <c r="S175" s="19">
        <f t="shared" si="5"/>
        <v>0</v>
      </c>
      <c r="W175">
        <v>0</v>
      </c>
      <c r="X175">
        <v>0</v>
      </c>
      <c r="Y175" s="6">
        <v>0</v>
      </c>
      <c r="Z175">
        <v>0</v>
      </c>
      <c r="AB175" s="19">
        <f t="shared" si="6"/>
        <v>0</v>
      </c>
      <c r="AC175" s="19">
        <f t="shared" si="7"/>
        <v>0</v>
      </c>
      <c r="AD175" s="19">
        <f t="shared" si="8"/>
        <v>0</v>
      </c>
      <c r="AE175" s="19">
        <f t="shared" si="9"/>
        <v>0</v>
      </c>
    </row>
    <row r="176" spans="1:31" x14ac:dyDescent="0.2">
      <c r="B176" s="23">
        <v>0</v>
      </c>
      <c r="C176" s="23">
        <v>0</v>
      </c>
      <c r="D176" s="36">
        <v>0</v>
      </c>
      <c r="E176" s="22">
        <v>0</v>
      </c>
      <c r="J176" s="16">
        <v>0</v>
      </c>
      <c r="K176" s="16">
        <v>0</v>
      </c>
      <c r="L176" s="35">
        <v>0</v>
      </c>
      <c r="M176" s="34">
        <v>0</v>
      </c>
      <c r="P176" s="19">
        <f t="shared" si="5"/>
        <v>0</v>
      </c>
      <c r="Q176" s="19">
        <f t="shared" si="5"/>
        <v>0</v>
      </c>
      <c r="R176" s="19">
        <f t="shared" si="5"/>
        <v>0</v>
      </c>
      <c r="S176" s="19">
        <f t="shared" si="5"/>
        <v>0</v>
      </c>
      <c r="W176">
        <v>0</v>
      </c>
      <c r="X176">
        <v>0</v>
      </c>
      <c r="Y176" s="6">
        <v>0</v>
      </c>
      <c r="Z176">
        <v>0</v>
      </c>
      <c r="AB176" s="19">
        <f t="shared" si="6"/>
        <v>0</v>
      </c>
      <c r="AC176" s="19">
        <f t="shared" si="7"/>
        <v>0</v>
      </c>
      <c r="AD176" s="19">
        <f t="shared" si="8"/>
        <v>0</v>
      </c>
      <c r="AE176" s="19">
        <f t="shared" si="9"/>
        <v>0</v>
      </c>
    </row>
    <row r="177" spans="2:31" x14ac:dyDescent="0.2">
      <c r="B177" s="23">
        <v>0</v>
      </c>
      <c r="C177" s="23">
        <v>0</v>
      </c>
      <c r="D177" s="36">
        <v>0</v>
      </c>
      <c r="E177" s="22">
        <v>0</v>
      </c>
      <c r="J177" s="33">
        <v>0</v>
      </c>
      <c r="K177" s="16">
        <v>0</v>
      </c>
      <c r="L177" s="35">
        <v>0</v>
      </c>
      <c r="M177" s="34">
        <v>0</v>
      </c>
      <c r="P177" s="19">
        <f t="shared" si="5"/>
        <v>0</v>
      </c>
      <c r="Q177" s="19">
        <f t="shared" si="5"/>
        <v>0</v>
      </c>
      <c r="R177" s="19">
        <f t="shared" si="5"/>
        <v>0</v>
      </c>
      <c r="S177" s="19">
        <f t="shared" si="5"/>
        <v>0</v>
      </c>
      <c r="W177">
        <v>0</v>
      </c>
      <c r="X177">
        <v>0</v>
      </c>
      <c r="Y177" s="6">
        <v>0</v>
      </c>
      <c r="Z177">
        <v>0</v>
      </c>
      <c r="AB177" s="19">
        <f t="shared" si="6"/>
        <v>0</v>
      </c>
      <c r="AC177" s="19">
        <f t="shared" si="7"/>
        <v>0</v>
      </c>
      <c r="AD177" s="19">
        <f t="shared" si="8"/>
        <v>0</v>
      </c>
      <c r="AE177" s="19">
        <f t="shared" si="9"/>
        <v>0</v>
      </c>
    </row>
    <row r="178" spans="2:31" x14ac:dyDescent="0.2">
      <c r="B178" s="23">
        <v>0</v>
      </c>
      <c r="C178" s="23">
        <v>0</v>
      </c>
      <c r="D178" s="36">
        <v>0</v>
      </c>
      <c r="E178" s="22">
        <v>0</v>
      </c>
      <c r="J178" s="16">
        <v>0</v>
      </c>
      <c r="K178" s="16">
        <v>0</v>
      </c>
      <c r="L178" s="35">
        <v>0</v>
      </c>
      <c r="M178" s="34">
        <v>0</v>
      </c>
      <c r="P178" s="19">
        <f t="shared" si="5"/>
        <v>0</v>
      </c>
      <c r="Q178" s="19">
        <f t="shared" si="5"/>
        <v>0</v>
      </c>
      <c r="R178" s="19">
        <f t="shared" si="5"/>
        <v>0</v>
      </c>
      <c r="S178" s="19">
        <f t="shared" si="5"/>
        <v>0</v>
      </c>
      <c r="W178">
        <v>0</v>
      </c>
      <c r="X178">
        <v>0</v>
      </c>
      <c r="Y178" s="6">
        <v>0</v>
      </c>
      <c r="Z178">
        <v>0</v>
      </c>
      <c r="AB178" s="19">
        <f t="shared" si="6"/>
        <v>0</v>
      </c>
      <c r="AC178" s="19">
        <f t="shared" si="7"/>
        <v>0</v>
      </c>
      <c r="AD178" s="19">
        <f t="shared" si="8"/>
        <v>0</v>
      </c>
      <c r="AE178" s="19">
        <f t="shared" si="9"/>
        <v>0</v>
      </c>
    </row>
    <row r="179" spans="2:31" x14ac:dyDescent="0.2">
      <c r="B179" s="23">
        <v>0</v>
      </c>
      <c r="C179" s="23">
        <v>0</v>
      </c>
      <c r="D179" s="36">
        <v>0</v>
      </c>
      <c r="E179" s="22">
        <v>0</v>
      </c>
      <c r="J179" s="16">
        <v>20</v>
      </c>
      <c r="K179" s="16">
        <v>20</v>
      </c>
      <c r="L179" s="35">
        <v>2</v>
      </c>
      <c r="M179" s="34">
        <v>2</v>
      </c>
      <c r="P179" s="19">
        <f t="shared" si="5"/>
        <v>1</v>
      </c>
      <c r="Q179" s="19">
        <f t="shared" si="5"/>
        <v>1</v>
      </c>
      <c r="R179" s="19">
        <f t="shared" si="5"/>
        <v>0.1</v>
      </c>
      <c r="S179" s="19">
        <f t="shared" si="5"/>
        <v>0.1</v>
      </c>
      <c r="W179">
        <v>0</v>
      </c>
      <c r="X179">
        <v>0</v>
      </c>
      <c r="Y179" s="6">
        <v>0</v>
      </c>
      <c r="Z179">
        <v>0</v>
      </c>
      <c r="AB179" s="19">
        <f t="shared" si="6"/>
        <v>0</v>
      </c>
      <c r="AC179" s="19">
        <f t="shared" si="7"/>
        <v>0</v>
      </c>
      <c r="AD179" s="19">
        <f t="shared" si="8"/>
        <v>0</v>
      </c>
      <c r="AE179" s="19">
        <f t="shared" si="9"/>
        <v>0</v>
      </c>
    </row>
    <row r="180" spans="2:31" x14ac:dyDescent="0.2">
      <c r="B180" s="32">
        <v>0</v>
      </c>
      <c r="C180" s="23">
        <v>0</v>
      </c>
      <c r="D180" s="36">
        <v>0</v>
      </c>
      <c r="E180" s="22">
        <v>0</v>
      </c>
      <c r="J180" s="33">
        <v>0</v>
      </c>
      <c r="K180" s="16">
        <v>0</v>
      </c>
      <c r="L180" s="35">
        <v>0</v>
      </c>
      <c r="M180" s="34">
        <v>0</v>
      </c>
      <c r="P180" s="19">
        <f t="shared" si="5"/>
        <v>0</v>
      </c>
      <c r="Q180" s="19">
        <f t="shared" si="5"/>
        <v>0</v>
      </c>
      <c r="R180" s="19">
        <f t="shared" si="5"/>
        <v>0</v>
      </c>
      <c r="S180" s="19">
        <f t="shared" si="5"/>
        <v>0</v>
      </c>
      <c r="W180">
        <v>0</v>
      </c>
      <c r="X180">
        <v>0</v>
      </c>
      <c r="Y180" s="6">
        <v>0</v>
      </c>
      <c r="Z180">
        <v>0</v>
      </c>
      <c r="AB180" s="19">
        <f t="shared" si="6"/>
        <v>0</v>
      </c>
      <c r="AC180" s="19">
        <f t="shared" si="7"/>
        <v>0</v>
      </c>
      <c r="AD180" s="19">
        <f t="shared" si="8"/>
        <v>0</v>
      </c>
      <c r="AE180" s="19">
        <f t="shared" si="9"/>
        <v>0</v>
      </c>
    </row>
    <row r="181" spans="2:31" x14ac:dyDescent="0.2">
      <c r="B181" s="23">
        <v>0</v>
      </c>
      <c r="C181" s="23">
        <v>0</v>
      </c>
      <c r="D181" s="36">
        <v>0</v>
      </c>
      <c r="E181" s="22">
        <v>0</v>
      </c>
      <c r="J181" s="16">
        <v>0</v>
      </c>
      <c r="K181" s="16">
        <v>0</v>
      </c>
      <c r="L181" s="35">
        <v>0</v>
      </c>
      <c r="M181" s="34">
        <v>0</v>
      </c>
      <c r="P181" s="19">
        <f t="shared" si="5"/>
        <v>0</v>
      </c>
      <c r="Q181" s="19">
        <f t="shared" si="5"/>
        <v>0</v>
      </c>
      <c r="R181" s="19">
        <f t="shared" si="5"/>
        <v>0</v>
      </c>
      <c r="S181" s="19">
        <f t="shared" si="5"/>
        <v>0</v>
      </c>
      <c r="W181">
        <v>0</v>
      </c>
      <c r="X181">
        <v>0</v>
      </c>
      <c r="Y181" s="6">
        <v>0</v>
      </c>
      <c r="Z181">
        <v>0</v>
      </c>
      <c r="AB181" s="19">
        <f t="shared" si="6"/>
        <v>0</v>
      </c>
      <c r="AC181" s="19">
        <f t="shared" si="7"/>
        <v>0</v>
      </c>
      <c r="AD181" s="19">
        <f t="shared" si="8"/>
        <v>0</v>
      </c>
      <c r="AE181" s="19">
        <f t="shared" si="9"/>
        <v>0</v>
      </c>
    </row>
    <row r="182" spans="2:31" x14ac:dyDescent="0.2">
      <c r="B182" s="23">
        <v>0</v>
      </c>
      <c r="C182" s="23">
        <v>0</v>
      </c>
      <c r="D182" s="36">
        <v>0</v>
      </c>
      <c r="E182" s="22">
        <v>0</v>
      </c>
      <c r="J182" s="16">
        <v>0</v>
      </c>
      <c r="K182" s="16">
        <v>0</v>
      </c>
      <c r="L182" s="35">
        <v>0</v>
      </c>
      <c r="M182" s="34">
        <v>0</v>
      </c>
      <c r="P182" s="19">
        <f t="shared" si="5"/>
        <v>0</v>
      </c>
      <c r="Q182" s="19">
        <f t="shared" si="5"/>
        <v>0</v>
      </c>
      <c r="R182" s="19">
        <f t="shared" si="5"/>
        <v>0</v>
      </c>
      <c r="S182" s="19">
        <f t="shared" si="5"/>
        <v>0</v>
      </c>
      <c r="W182">
        <v>0</v>
      </c>
      <c r="X182">
        <v>0</v>
      </c>
      <c r="Y182" s="6">
        <v>0</v>
      </c>
      <c r="Z182">
        <v>0</v>
      </c>
      <c r="AB182" s="19">
        <f t="shared" si="6"/>
        <v>0</v>
      </c>
      <c r="AC182" s="19">
        <f t="shared" si="7"/>
        <v>0</v>
      </c>
      <c r="AD182" s="19">
        <f t="shared" si="8"/>
        <v>0</v>
      </c>
      <c r="AE182" s="19">
        <f t="shared" si="9"/>
        <v>0</v>
      </c>
    </row>
    <row r="183" spans="2:31" x14ac:dyDescent="0.2">
      <c r="B183" s="23">
        <v>0</v>
      </c>
      <c r="C183" s="23">
        <v>0</v>
      </c>
      <c r="D183" s="36">
        <v>0</v>
      </c>
      <c r="E183" s="22">
        <v>0</v>
      </c>
      <c r="J183" s="16">
        <v>0</v>
      </c>
      <c r="K183" s="16">
        <v>0</v>
      </c>
      <c r="L183" s="35">
        <v>0</v>
      </c>
      <c r="M183" s="34">
        <v>0</v>
      </c>
      <c r="P183" s="19">
        <f t="shared" si="5"/>
        <v>0</v>
      </c>
      <c r="Q183" s="19">
        <f t="shared" si="5"/>
        <v>0</v>
      </c>
      <c r="R183" s="19">
        <f t="shared" si="5"/>
        <v>0</v>
      </c>
      <c r="S183" s="19">
        <f t="shared" si="5"/>
        <v>0</v>
      </c>
      <c r="W183">
        <v>0</v>
      </c>
      <c r="X183">
        <v>0</v>
      </c>
      <c r="Y183" s="6">
        <v>0</v>
      </c>
      <c r="Z183">
        <v>0</v>
      </c>
      <c r="AB183" s="19">
        <f t="shared" si="6"/>
        <v>0</v>
      </c>
      <c r="AC183" s="19">
        <f t="shared" si="7"/>
        <v>0</v>
      </c>
      <c r="AD183" s="19">
        <f t="shared" si="8"/>
        <v>0</v>
      </c>
      <c r="AE183" s="19">
        <f t="shared" si="9"/>
        <v>0</v>
      </c>
    </row>
    <row r="184" spans="2:31" x14ac:dyDescent="0.2">
      <c r="B184" s="23">
        <v>0</v>
      </c>
      <c r="C184" s="23">
        <v>0</v>
      </c>
      <c r="D184" s="36">
        <v>0</v>
      </c>
      <c r="E184" s="22">
        <v>0</v>
      </c>
      <c r="J184" s="16">
        <v>0</v>
      </c>
      <c r="K184" s="16">
        <v>0</v>
      </c>
      <c r="L184" s="35">
        <v>0</v>
      </c>
      <c r="M184" s="34">
        <v>0</v>
      </c>
      <c r="P184" s="19">
        <f t="shared" si="5"/>
        <v>0</v>
      </c>
      <c r="Q184" s="19">
        <f t="shared" si="5"/>
        <v>0</v>
      </c>
      <c r="R184" s="19">
        <f t="shared" si="5"/>
        <v>0</v>
      </c>
      <c r="S184" s="19">
        <f t="shared" si="5"/>
        <v>0</v>
      </c>
      <c r="W184">
        <v>0</v>
      </c>
      <c r="X184">
        <v>0</v>
      </c>
      <c r="Y184" s="6">
        <v>1</v>
      </c>
      <c r="Z184">
        <v>1</v>
      </c>
      <c r="AB184" s="19">
        <f t="shared" si="6"/>
        <v>0</v>
      </c>
      <c r="AC184" s="19">
        <f t="shared" si="7"/>
        <v>0</v>
      </c>
      <c r="AD184" s="19">
        <f t="shared" si="8"/>
        <v>0.05</v>
      </c>
      <c r="AE184" s="19">
        <f t="shared" si="9"/>
        <v>0.05</v>
      </c>
    </row>
    <row r="185" spans="2:31" x14ac:dyDescent="0.2">
      <c r="B185" s="23">
        <v>0</v>
      </c>
      <c r="C185" s="23">
        <v>0</v>
      </c>
      <c r="D185" s="36">
        <v>0</v>
      </c>
      <c r="E185" s="22">
        <v>0</v>
      </c>
      <c r="J185" s="16">
        <v>0</v>
      </c>
      <c r="K185" s="16">
        <v>0</v>
      </c>
      <c r="L185" s="35">
        <v>0</v>
      </c>
      <c r="M185" s="34">
        <v>0</v>
      </c>
      <c r="P185" s="19">
        <f t="shared" si="5"/>
        <v>0</v>
      </c>
      <c r="Q185" s="19">
        <f t="shared" si="5"/>
        <v>0</v>
      </c>
      <c r="R185" s="19">
        <f t="shared" si="5"/>
        <v>0</v>
      </c>
      <c r="S185" s="19">
        <f t="shared" si="5"/>
        <v>0</v>
      </c>
      <c r="W185">
        <v>15</v>
      </c>
      <c r="X185">
        <v>15</v>
      </c>
      <c r="Y185" s="6">
        <v>14</v>
      </c>
      <c r="Z185">
        <v>14</v>
      </c>
      <c r="AB185" s="19">
        <f t="shared" si="6"/>
        <v>0.75</v>
      </c>
      <c r="AC185" s="19">
        <f t="shared" si="7"/>
        <v>0.75</v>
      </c>
      <c r="AD185" s="19">
        <f t="shared" si="8"/>
        <v>0.7</v>
      </c>
      <c r="AE185" s="19">
        <f t="shared" si="9"/>
        <v>0.7</v>
      </c>
    </row>
    <row r="186" spans="2:31" x14ac:dyDescent="0.2">
      <c r="B186" s="23">
        <v>0</v>
      </c>
      <c r="C186" s="23">
        <v>0</v>
      </c>
      <c r="D186" s="36">
        <v>0</v>
      </c>
      <c r="E186" s="22">
        <v>0</v>
      </c>
      <c r="J186" s="16">
        <v>0</v>
      </c>
      <c r="K186" s="16">
        <v>0</v>
      </c>
      <c r="L186" s="35">
        <v>0</v>
      </c>
      <c r="M186" s="34">
        <v>0</v>
      </c>
      <c r="P186" s="19">
        <f t="shared" si="5"/>
        <v>0</v>
      </c>
      <c r="Q186" s="19">
        <f t="shared" si="5"/>
        <v>0</v>
      </c>
      <c r="R186" s="19">
        <f t="shared" si="5"/>
        <v>0</v>
      </c>
      <c r="S186" s="19">
        <f t="shared" si="5"/>
        <v>0</v>
      </c>
      <c r="W186">
        <v>0</v>
      </c>
      <c r="X186">
        <v>0</v>
      </c>
      <c r="Y186" s="6">
        <v>0</v>
      </c>
      <c r="Z186">
        <v>0</v>
      </c>
      <c r="AB186" s="19">
        <f t="shared" si="6"/>
        <v>0</v>
      </c>
      <c r="AC186" s="19">
        <f t="shared" si="7"/>
        <v>0</v>
      </c>
      <c r="AD186" s="19">
        <f t="shared" si="8"/>
        <v>0</v>
      </c>
      <c r="AE186" s="19">
        <f t="shared" si="9"/>
        <v>0</v>
      </c>
    </row>
    <row r="187" spans="2:31" x14ac:dyDescent="0.2">
      <c r="B187" s="23">
        <v>0</v>
      </c>
      <c r="C187" s="23">
        <v>0</v>
      </c>
      <c r="D187" s="36">
        <v>0</v>
      </c>
      <c r="E187" s="22">
        <v>0</v>
      </c>
      <c r="J187" s="33">
        <v>2</v>
      </c>
      <c r="K187" s="16">
        <v>2</v>
      </c>
      <c r="L187" s="35">
        <v>2</v>
      </c>
      <c r="M187" s="34">
        <v>2</v>
      </c>
      <c r="P187" s="19">
        <f t="shared" si="5"/>
        <v>0.1</v>
      </c>
      <c r="Q187" s="19">
        <f t="shared" si="5"/>
        <v>0.1</v>
      </c>
      <c r="R187" s="19">
        <f t="shared" si="5"/>
        <v>0.1</v>
      </c>
      <c r="S187" s="19">
        <f t="shared" si="5"/>
        <v>0.1</v>
      </c>
      <c r="W187">
        <v>3</v>
      </c>
      <c r="X187">
        <v>0</v>
      </c>
      <c r="Y187" s="6">
        <v>6</v>
      </c>
      <c r="Z187">
        <v>6</v>
      </c>
      <c r="AB187" s="19">
        <f t="shared" si="6"/>
        <v>0.15</v>
      </c>
      <c r="AC187" s="19">
        <f t="shared" si="7"/>
        <v>0</v>
      </c>
      <c r="AD187" s="19">
        <f t="shared" si="8"/>
        <v>0.3</v>
      </c>
      <c r="AE187" s="19">
        <f t="shared" si="9"/>
        <v>0.3</v>
      </c>
    </row>
    <row r="188" spans="2:31" x14ac:dyDescent="0.2">
      <c r="B188" s="23">
        <v>0</v>
      </c>
      <c r="C188" s="23">
        <v>0</v>
      </c>
      <c r="D188" s="36">
        <v>0</v>
      </c>
      <c r="E188" s="22">
        <v>0</v>
      </c>
      <c r="J188" s="16">
        <v>0</v>
      </c>
      <c r="K188" s="16">
        <v>0</v>
      </c>
      <c r="L188" s="35">
        <v>0</v>
      </c>
      <c r="M188" s="34">
        <v>0</v>
      </c>
      <c r="P188" s="19">
        <f t="shared" si="5"/>
        <v>0</v>
      </c>
      <c r="Q188" s="19">
        <f t="shared" si="5"/>
        <v>0</v>
      </c>
      <c r="R188" s="19">
        <f t="shared" si="5"/>
        <v>0</v>
      </c>
      <c r="S188" s="19">
        <f t="shared" si="5"/>
        <v>0</v>
      </c>
      <c r="W188">
        <v>20</v>
      </c>
      <c r="X188">
        <v>20</v>
      </c>
      <c r="Y188" s="6">
        <v>14</v>
      </c>
      <c r="Z188">
        <v>14</v>
      </c>
      <c r="AB188" s="19">
        <f t="shared" si="6"/>
        <v>1</v>
      </c>
      <c r="AC188" s="19">
        <f t="shared" si="7"/>
        <v>1</v>
      </c>
      <c r="AD188" s="19">
        <f t="shared" si="8"/>
        <v>0.7</v>
      </c>
      <c r="AE188" s="19">
        <f t="shared" si="9"/>
        <v>0.7</v>
      </c>
    </row>
    <row r="189" spans="2:31" x14ac:dyDescent="0.2">
      <c r="B189" s="23">
        <v>0</v>
      </c>
      <c r="C189" s="23">
        <v>0</v>
      </c>
      <c r="D189" s="36">
        <v>0</v>
      </c>
      <c r="E189" s="22">
        <v>0</v>
      </c>
      <c r="J189" s="16">
        <v>0</v>
      </c>
      <c r="K189" s="16">
        <v>0</v>
      </c>
      <c r="L189" s="35">
        <v>0</v>
      </c>
      <c r="M189" s="34">
        <v>0</v>
      </c>
      <c r="P189" s="19">
        <f t="shared" si="5"/>
        <v>0</v>
      </c>
      <c r="Q189" s="19">
        <f t="shared" si="5"/>
        <v>0</v>
      </c>
      <c r="R189" s="19">
        <f t="shared" si="5"/>
        <v>0</v>
      </c>
      <c r="S189" s="19">
        <f t="shared" si="5"/>
        <v>0</v>
      </c>
      <c r="W189" s="1">
        <v>0</v>
      </c>
      <c r="X189" s="1">
        <v>0</v>
      </c>
      <c r="Y189" s="6">
        <v>0</v>
      </c>
      <c r="Z189">
        <v>0</v>
      </c>
      <c r="AB189" s="19">
        <f t="shared" si="6"/>
        <v>0</v>
      </c>
      <c r="AC189" s="19">
        <f t="shared" si="7"/>
        <v>0</v>
      </c>
      <c r="AD189" s="19">
        <f t="shared" si="8"/>
        <v>0</v>
      </c>
      <c r="AE189" s="19">
        <f t="shared" si="9"/>
        <v>0</v>
      </c>
    </row>
    <row r="190" spans="2:31" x14ac:dyDescent="0.2">
      <c r="B190" s="32">
        <v>0</v>
      </c>
      <c r="C190" s="23">
        <v>0</v>
      </c>
      <c r="D190" s="36">
        <v>0</v>
      </c>
      <c r="E190" s="22">
        <v>0</v>
      </c>
      <c r="J190" s="33">
        <v>0</v>
      </c>
      <c r="K190" s="16">
        <v>0</v>
      </c>
      <c r="L190" s="35">
        <v>0</v>
      </c>
      <c r="M190" s="34">
        <v>0</v>
      </c>
      <c r="P190" s="19">
        <f t="shared" si="5"/>
        <v>0</v>
      </c>
      <c r="Q190" s="19">
        <f t="shared" si="5"/>
        <v>0</v>
      </c>
      <c r="R190" s="19">
        <f t="shared" si="5"/>
        <v>0</v>
      </c>
      <c r="S190" s="19">
        <f t="shared" si="5"/>
        <v>0</v>
      </c>
      <c r="W190" s="1">
        <v>0</v>
      </c>
      <c r="X190" s="1">
        <v>0</v>
      </c>
      <c r="Y190" s="6">
        <v>0</v>
      </c>
      <c r="Z190">
        <v>0</v>
      </c>
      <c r="AB190" s="19">
        <f t="shared" si="6"/>
        <v>0</v>
      </c>
      <c r="AC190" s="19">
        <f t="shared" si="7"/>
        <v>0</v>
      </c>
      <c r="AD190" s="19">
        <f t="shared" si="8"/>
        <v>0</v>
      </c>
      <c r="AE190" s="19">
        <f t="shared" si="9"/>
        <v>0</v>
      </c>
    </row>
    <row r="191" spans="2:31" x14ac:dyDescent="0.2">
      <c r="B191" s="23">
        <v>0</v>
      </c>
      <c r="C191" s="23">
        <v>0.05</v>
      </c>
      <c r="D191" s="36">
        <v>0</v>
      </c>
      <c r="E191" s="22">
        <v>0</v>
      </c>
      <c r="J191" s="16">
        <v>0</v>
      </c>
      <c r="K191" s="16">
        <v>0</v>
      </c>
      <c r="L191" s="35">
        <v>0</v>
      </c>
      <c r="M191" s="34">
        <v>0</v>
      </c>
      <c r="P191" s="19">
        <f t="shared" si="5"/>
        <v>0</v>
      </c>
      <c r="Q191" s="19">
        <f t="shared" si="5"/>
        <v>0</v>
      </c>
      <c r="R191" s="19">
        <f t="shared" si="5"/>
        <v>0</v>
      </c>
      <c r="S191" s="19">
        <f t="shared" si="5"/>
        <v>0</v>
      </c>
      <c r="W191" s="1">
        <v>0</v>
      </c>
      <c r="X191" s="1">
        <v>0</v>
      </c>
      <c r="Y191" s="6">
        <v>0</v>
      </c>
      <c r="Z191">
        <v>0</v>
      </c>
      <c r="AB191" s="19">
        <f t="shared" si="6"/>
        <v>0</v>
      </c>
      <c r="AC191" s="19">
        <f t="shared" si="7"/>
        <v>0</v>
      </c>
      <c r="AD191" s="19">
        <f t="shared" si="8"/>
        <v>0</v>
      </c>
      <c r="AE191" s="19">
        <f t="shared" si="9"/>
        <v>0</v>
      </c>
    </row>
    <row r="192" spans="2:31" x14ac:dyDescent="0.2">
      <c r="B192" s="23">
        <v>0</v>
      </c>
      <c r="C192" s="23">
        <v>0</v>
      </c>
      <c r="D192" s="36">
        <v>0</v>
      </c>
      <c r="E192" s="22">
        <v>0</v>
      </c>
      <c r="J192" s="33">
        <v>0</v>
      </c>
      <c r="K192" s="16">
        <v>0</v>
      </c>
      <c r="L192" s="35">
        <v>0</v>
      </c>
      <c r="M192" s="34">
        <v>0</v>
      </c>
      <c r="P192" s="19">
        <f t="shared" si="5"/>
        <v>0</v>
      </c>
      <c r="Q192" s="19">
        <f t="shared" si="5"/>
        <v>0</v>
      </c>
      <c r="R192" s="19">
        <f t="shared" si="5"/>
        <v>0</v>
      </c>
      <c r="S192" s="19">
        <f t="shared" si="5"/>
        <v>0</v>
      </c>
      <c r="W192" s="1">
        <v>0</v>
      </c>
      <c r="X192" s="1">
        <v>0</v>
      </c>
      <c r="Y192" s="6">
        <v>0</v>
      </c>
      <c r="Z192">
        <v>0</v>
      </c>
      <c r="AB192" s="19">
        <f t="shared" si="6"/>
        <v>0</v>
      </c>
      <c r="AC192" s="19">
        <f t="shared" si="7"/>
        <v>0</v>
      </c>
      <c r="AD192" s="19">
        <f t="shared" si="8"/>
        <v>0</v>
      </c>
      <c r="AE192" s="19">
        <f t="shared" si="9"/>
        <v>0</v>
      </c>
    </row>
    <row r="193" spans="2:31" x14ac:dyDescent="0.2">
      <c r="B193" s="23">
        <v>0</v>
      </c>
      <c r="C193" s="23">
        <v>0</v>
      </c>
      <c r="D193" s="36">
        <v>0</v>
      </c>
      <c r="E193" s="22">
        <v>0</v>
      </c>
      <c r="J193" s="16">
        <v>0</v>
      </c>
      <c r="K193" s="16">
        <v>0</v>
      </c>
      <c r="L193" s="35">
        <v>0</v>
      </c>
      <c r="M193" s="34">
        <v>0</v>
      </c>
      <c r="P193" s="19">
        <f t="shared" si="5"/>
        <v>0</v>
      </c>
      <c r="Q193" s="19">
        <f t="shared" si="5"/>
        <v>0</v>
      </c>
      <c r="R193" s="19">
        <f t="shared" si="5"/>
        <v>0</v>
      </c>
      <c r="S193" s="19">
        <f t="shared" si="5"/>
        <v>0</v>
      </c>
      <c r="W193" s="1">
        <v>0</v>
      </c>
      <c r="X193" s="1">
        <v>0</v>
      </c>
      <c r="Y193" s="6">
        <v>0</v>
      </c>
      <c r="Z193">
        <v>0</v>
      </c>
      <c r="AB193" s="19">
        <f t="shared" si="6"/>
        <v>0</v>
      </c>
      <c r="AC193" s="19">
        <f t="shared" si="7"/>
        <v>0</v>
      </c>
      <c r="AD193" s="19">
        <f t="shared" si="8"/>
        <v>0</v>
      </c>
      <c r="AE193" s="19">
        <f t="shared" si="9"/>
        <v>0</v>
      </c>
    </row>
    <row r="194" spans="2:31" x14ac:dyDescent="0.2">
      <c r="B194" s="32">
        <v>0</v>
      </c>
      <c r="C194" s="23">
        <v>0</v>
      </c>
      <c r="D194" s="36">
        <v>0</v>
      </c>
      <c r="E194" s="22">
        <v>0</v>
      </c>
      <c r="J194" s="33">
        <v>0</v>
      </c>
      <c r="K194" s="16">
        <v>0</v>
      </c>
      <c r="L194" s="35">
        <v>0</v>
      </c>
      <c r="M194" s="34">
        <v>0</v>
      </c>
      <c r="P194" s="19">
        <f t="shared" si="5"/>
        <v>0</v>
      </c>
      <c r="Q194" s="19">
        <f t="shared" si="5"/>
        <v>0</v>
      </c>
      <c r="R194" s="19">
        <f t="shared" si="5"/>
        <v>0</v>
      </c>
      <c r="S194" s="19">
        <f t="shared" si="5"/>
        <v>0</v>
      </c>
      <c r="W194" s="1">
        <v>0</v>
      </c>
      <c r="X194" s="1">
        <v>0</v>
      </c>
      <c r="Y194" s="6">
        <v>0</v>
      </c>
      <c r="Z194">
        <v>0</v>
      </c>
      <c r="AB194" s="19">
        <f t="shared" si="6"/>
        <v>0</v>
      </c>
      <c r="AC194" s="19">
        <f t="shared" si="7"/>
        <v>0</v>
      </c>
      <c r="AD194" s="19">
        <f t="shared" si="8"/>
        <v>0</v>
      </c>
      <c r="AE194" s="19">
        <f t="shared" si="9"/>
        <v>0</v>
      </c>
    </row>
    <row r="195" spans="2:31" x14ac:dyDescent="0.2">
      <c r="B195" s="23">
        <v>0</v>
      </c>
      <c r="C195" s="23">
        <v>0</v>
      </c>
      <c r="D195" s="36">
        <v>0</v>
      </c>
      <c r="E195" s="22">
        <v>0</v>
      </c>
      <c r="J195" s="16">
        <v>0</v>
      </c>
      <c r="K195" s="16">
        <v>0</v>
      </c>
      <c r="L195" s="35">
        <v>0</v>
      </c>
      <c r="M195" s="34">
        <v>0</v>
      </c>
      <c r="P195" s="19">
        <f t="shared" si="5"/>
        <v>0</v>
      </c>
      <c r="Q195" s="19">
        <f t="shared" si="5"/>
        <v>0</v>
      </c>
      <c r="R195" s="19">
        <f t="shared" si="5"/>
        <v>0</v>
      </c>
      <c r="S195" s="19">
        <f t="shared" si="5"/>
        <v>0</v>
      </c>
      <c r="W195" s="1">
        <v>0</v>
      </c>
      <c r="X195" s="1">
        <v>0</v>
      </c>
      <c r="Y195" s="6">
        <v>0</v>
      </c>
      <c r="Z195">
        <v>0</v>
      </c>
      <c r="AB195" s="19">
        <f t="shared" si="6"/>
        <v>0</v>
      </c>
      <c r="AC195" s="19">
        <f t="shared" si="7"/>
        <v>0</v>
      </c>
      <c r="AD195" s="19">
        <f t="shared" si="8"/>
        <v>0</v>
      </c>
      <c r="AE195" s="19">
        <f t="shared" si="9"/>
        <v>0</v>
      </c>
    </row>
    <row r="196" spans="2:31" x14ac:dyDescent="0.2">
      <c r="B196" s="23">
        <v>0</v>
      </c>
      <c r="C196" s="23">
        <v>0</v>
      </c>
      <c r="D196" s="36">
        <v>0</v>
      </c>
      <c r="E196" s="22">
        <v>0</v>
      </c>
      <c r="J196" s="33">
        <v>0</v>
      </c>
      <c r="K196" s="16">
        <v>0</v>
      </c>
      <c r="L196" s="35">
        <v>0</v>
      </c>
      <c r="M196" s="34">
        <v>0</v>
      </c>
      <c r="P196" s="19">
        <f t="shared" si="5"/>
        <v>0</v>
      </c>
      <c r="Q196" s="19">
        <f t="shared" si="5"/>
        <v>0</v>
      </c>
      <c r="R196" s="19">
        <f t="shared" si="5"/>
        <v>0</v>
      </c>
      <c r="S196" s="19">
        <f t="shared" si="5"/>
        <v>0</v>
      </c>
      <c r="W196" s="1">
        <v>0</v>
      </c>
      <c r="X196" s="1">
        <v>0</v>
      </c>
      <c r="Y196" s="6">
        <v>0</v>
      </c>
      <c r="Z196">
        <v>0</v>
      </c>
      <c r="AB196" s="19">
        <f t="shared" si="6"/>
        <v>0</v>
      </c>
      <c r="AC196" s="19">
        <f t="shared" si="7"/>
        <v>0</v>
      </c>
      <c r="AD196" s="19">
        <f t="shared" si="8"/>
        <v>0</v>
      </c>
      <c r="AE196" s="19">
        <f t="shared" si="9"/>
        <v>0</v>
      </c>
    </row>
    <row r="197" spans="2:31" x14ac:dyDescent="0.2">
      <c r="B197" s="23">
        <v>0</v>
      </c>
      <c r="C197" s="23">
        <v>0</v>
      </c>
      <c r="D197" s="36">
        <v>0</v>
      </c>
      <c r="E197" s="22">
        <v>0</v>
      </c>
      <c r="J197" s="16">
        <v>0</v>
      </c>
      <c r="K197" s="16">
        <v>0</v>
      </c>
      <c r="L197" s="35">
        <v>0</v>
      </c>
      <c r="M197" s="34">
        <v>0</v>
      </c>
      <c r="P197" s="19">
        <f t="shared" si="5"/>
        <v>0</v>
      </c>
      <c r="Q197" s="19">
        <f t="shared" si="5"/>
        <v>0</v>
      </c>
      <c r="R197" s="19">
        <f t="shared" si="5"/>
        <v>0</v>
      </c>
      <c r="S197" s="19">
        <f t="shared" si="5"/>
        <v>0</v>
      </c>
      <c r="W197" s="1">
        <v>0</v>
      </c>
      <c r="X197" s="1">
        <v>0</v>
      </c>
      <c r="Y197" s="6">
        <v>0</v>
      </c>
      <c r="Z197">
        <v>0</v>
      </c>
      <c r="AB197" s="19">
        <f t="shared" si="6"/>
        <v>0</v>
      </c>
      <c r="AC197" s="19">
        <f t="shared" si="7"/>
        <v>0</v>
      </c>
      <c r="AD197" s="19">
        <f t="shared" si="8"/>
        <v>0</v>
      </c>
      <c r="AE197" s="19">
        <f t="shared" si="9"/>
        <v>0</v>
      </c>
    </row>
    <row r="198" spans="2:31" x14ac:dyDescent="0.2">
      <c r="B198" s="23">
        <v>0</v>
      </c>
      <c r="C198" s="23">
        <v>0</v>
      </c>
      <c r="D198" s="36">
        <v>0</v>
      </c>
      <c r="E198" s="22">
        <v>0</v>
      </c>
      <c r="J198" s="16">
        <v>2</v>
      </c>
      <c r="K198" s="16">
        <v>2</v>
      </c>
      <c r="L198" s="35">
        <v>0</v>
      </c>
      <c r="M198" s="34">
        <v>0</v>
      </c>
      <c r="P198" s="19">
        <f t="shared" si="5"/>
        <v>0.1</v>
      </c>
      <c r="Q198" s="19">
        <f t="shared" si="5"/>
        <v>0.1</v>
      </c>
      <c r="R198" s="19">
        <f t="shared" si="5"/>
        <v>0</v>
      </c>
      <c r="S198" s="19">
        <f t="shared" si="5"/>
        <v>0</v>
      </c>
      <c r="W198" s="3">
        <v>0</v>
      </c>
      <c r="X198" s="1">
        <v>0</v>
      </c>
      <c r="Y198" s="6">
        <v>0</v>
      </c>
      <c r="Z198">
        <v>0</v>
      </c>
      <c r="AB198" s="19">
        <f t="shared" si="6"/>
        <v>0</v>
      </c>
      <c r="AC198" s="19">
        <f t="shared" si="7"/>
        <v>0</v>
      </c>
      <c r="AD198" s="19">
        <f t="shared" si="8"/>
        <v>0</v>
      </c>
      <c r="AE198" s="19">
        <f t="shared" si="9"/>
        <v>0</v>
      </c>
    </row>
    <row r="199" spans="2:31" x14ac:dyDescent="0.2">
      <c r="B199" s="23">
        <v>0</v>
      </c>
      <c r="C199" s="23">
        <v>0</v>
      </c>
      <c r="D199" s="36">
        <v>0</v>
      </c>
      <c r="E199" s="22">
        <v>0</v>
      </c>
      <c r="J199" s="16">
        <v>0</v>
      </c>
      <c r="K199" s="16">
        <v>0</v>
      </c>
      <c r="L199" s="35">
        <v>0</v>
      </c>
      <c r="M199" s="34">
        <v>0</v>
      </c>
      <c r="P199" s="19">
        <f t="shared" si="5"/>
        <v>0</v>
      </c>
      <c r="Q199" s="19">
        <f t="shared" si="5"/>
        <v>0</v>
      </c>
      <c r="R199" s="19">
        <f t="shared" si="5"/>
        <v>0</v>
      </c>
      <c r="S199" s="19">
        <f t="shared" si="5"/>
        <v>0</v>
      </c>
      <c r="W199" s="1">
        <v>0</v>
      </c>
      <c r="X199" s="1">
        <v>0</v>
      </c>
      <c r="Y199" s="6">
        <v>0</v>
      </c>
      <c r="Z199">
        <v>0</v>
      </c>
      <c r="AB199" s="19">
        <f t="shared" si="6"/>
        <v>0</v>
      </c>
      <c r="AC199" s="19">
        <f t="shared" si="7"/>
        <v>0</v>
      </c>
      <c r="AD199" s="19">
        <f t="shared" si="8"/>
        <v>0</v>
      </c>
      <c r="AE199" s="19">
        <f t="shared" si="9"/>
        <v>0</v>
      </c>
    </row>
    <row r="200" spans="2:31" x14ac:dyDescent="0.2">
      <c r="B200" s="19">
        <v>1</v>
      </c>
      <c r="C200" s="19">
        <v>1</v>
      </c>
      <c r="D200" s="36">
        <v>0</v>
      </c>
      <c r="E200" s="22">
        <v>0</v>
      </c>
      <c r="J200" s="16">
        <v>20</v>
      </c>
      <c r="K200" s="16">
        <v>20</v>
      </c>
      <c r="L200" s="35">
        <v>20</v>
      </c>
      <c r="M200" s="34">
        <v>20</v>
      </c>
      <c r="P200" s="19">
        <f t="shared" si="5"/>
        <v>1</v>
      </c>
      <c r="Q200" s="19">
        <f t="shared" si="5"/>
        <v>1</v>
      </c>
      <c r="R200" s="19">
        <f t="shared" si="5"/>
        <v>1</v>
      </c>
      <c r="S200" s="19">
        <f t="shared" si="5"/>
        <v>1</v>
      </c>
      <c r="W200" s="1">
        <v>18</v>
      </c>
      <c r="X200" s="1">
        <v>18</v>
      </c>
      <c r="Y200" s="6">
        <v>12</v>
      </c>
      <c r="Z200">
        <v>12</v>
      </c>
      <c r="AB200" s="19">
        <f t="shared" si="6"/>
        <v>0.9</v>
      </c>
      <c r="AC200" s="19">
        <f t="shared" si="7"/>
        <v>0.9</v>
      </c>
      <c r="AD200" s="19">
        <f t="shared" si="8"/>
        <v>0.6</v>
      </c>
      <c r="AE200" s="19">
        <f t="shared" si="9"/>
        <v>0.6</v>
      </c>
    </row>
    <row r="217" spans="1:1" x14ac:dyDescent="0.2">
      <c r="A217" t="s">
        <v>223</v>
      </c>
    </row>
  </sheetData>
  <pageMargins left="0.7" right="0.7" top="0.75" bottom="0.75" header="0.3" footer="0.3"/>
  <pageSetup paperSize="9"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8FD7-4459-CD48-A8BC-A830D8F3E00A}">
  <dimension ref="A1:AH169"/>
  <sheetViews>
    <sheetView topLeftCell="A137" workbookViewId="0">
      <selection activeCell="C126" sqref="C126"/>
    </sheetView>
  </sheetViews>
  <sheetFormatPr baseColWidth="10" defaultRowHeight="16" x14ac:dyDescent="0.2"/>
  <sheetData>
    <row r="1" spans="1:18" x14ac:dyDescent="0.2">
      <c r="A1" t="s">
        <v>90</v>
      </c>
    </row>
    <row r="2" spans="1:18" x14ac:dyDescent="0.2">
      <c r="A2" t="s">
        <v>49</v>
      </c>
    </row>
    <row r="3" spans="1:18" x14ac:dyDescent="0.2">
      <c r="A3" t="s">
        <v>109</v>
      </c>
      <c r="B3" s="3" t="s">
        <v>122</v>
      </c>
      <c r="C3">
        <v>15</v>
      </c>
      <c r="D3">
        <f>C3*20</f>
        <v>300</v>
      </c>
    </row>
    <row r="4" spans="1:18" x14ac:dyDescent="0.2">
      <c r="B4" s="3" t="s">
        <v>136</v>
      </c>
      <c r="C4">
        <v>28</v>
      </c>
      <c r="D4">
        <f>C4*20</f>
        <v>560</v>
      </c>
    </row>
    <row r="5" spans="1:18" x14ac:dyDescent="0.2">
      <c r="C5">
        <f>SUM(C3:C4)</f>
        <v>43</v>
      </c>
      <c r="D5">
        <f>SUM(D3:D4)</f>
        <v>860</v>
      </c>
    </row>
    <row r="8" spans="1:18" x14ac:dyDescent="0.2">
      <c r="A8" t="s">
        <v>45</v>
      </c>
      <c r="B8" t="s">
        <v>50</v>
      </c>
      <c r="C8" t="s">
        <v>171</v>
      </c>
      <c r="D8" t="s">
        <v>53</v>
      </c>
    </row>
    <row r="10" spans="1:18" x14ac:dyDescent="0.2">
      <c r="A10" t="s">
        <v>171</v>
      </c>
      <c r="B10" t="s">
        <v>60</v>
      </c>
      <c r="F10" s="2" t="s">
        <v>50</v>
      </c>
      <c r="G10" t="s">
        <v>61</v>
      </c>
      <c r="N10" s="2" t="s">
        <v>53</v>
      </c>
      <c r="O10" t="s">
        <v>59</v>
      </c>
    </row>
    <row r="12" spans="1:18" x14ac:dyDescent="0.2">
      <c r="A12" s="2" t="s">
        <v>44</v>
      </c>
      <c r="B12" s="2" t="s">
        <v>120</v>
      </c>
      <c r="C12" s="2" t="s">
        <v>94</v>
      </c>
      <c r="D12" s="2" t="s">
        <v>121</v>
      </c>
      <c r="E12" s="2" t="s">
        <v>92</v>
      </c>
      <c r="F12" s="2" t="s">
        <v>44</v>
      </c>
      <c r="G12" s="2" t="s">
        <v>120</v>
      </c>
      <c r="H12" s="2" t="s">
        <v>94</v>
      </c>
      <c r="I12" s="2" t="s">
        <v>121</v>
      </c>
      <c r="J12" s="2" t="s">
        <v>92</v>
      </c>
      <c r="K12" s="2"/>
      <c r="L12" s="2"/>
      <c r="M12" s="2"/>
      <c r="N12" s="2" t="s">
        <v>44</v>
      </c>
      <c r="O12" s="2" t="s">
        <v>120</v>
      </c>
      <c r="P12" s="2" t="s">
        <v>94</v>
      </c>
      <c r="Q12" s="2" t="s">
        <v>121</v>
      </c>
      <c r="R12" s="2" t="s">
        <v>92</v>
      </c>
    </row>
    <row r="13" spans="1:18" x14ac:dyDescent="0.2">
      <c r="A13" s="3" t="s">
        <v>122</v>
      </c>
      <c r="F13" s="3" t="s">
        <v>122</v>
      </c>
      <c r="N13" s="3" t="s">
        <v>122</v>
      </c>
    </row>
    <row r="14" spans="1:18" x14ac:dyDescent="0.2">
      <c r="B14">
        <v>0</v>
      </c>
      <c r="C14">
        <v>0</v>
      </c>
      <c r="D14">
        <v>0</v>
      </c>
      <c r="E14">
        <v>0</v>
      </c>
      <c r="G14">
        <v>0</v>
      </c>
      <c r="H14">
        <v>0</v>
      </c>
      <c r="I14">
        <v>0</v>
      </c>
      <c r="J14">
        <v>0</v>
      </c>
      <c r="O14">
        <v>0</v>
      </c>
      <c r="P14">
        <v>0</v>
      </c>
      <c r="Q14">
        <v>0</v>
      </c>
      <c r="R14">
        <v>0</v>
      </c>
    </row>
    <row r="15" spans="1:18" x14ac:dyDescent="0.2">
      <c r="B15">
        <v>0</v>
      </c>
      <c r="C15">
        <v>0</v>
      </c>
      <c r="D15">
        <v>0</v>
      </c>
      <c r="E15">
        <v>0</v>
      </c>
      <c r="G15">
        <v>0</v>
      </c>
      <c r="H15">
        <v>0</v>
      </c>
      <c r="I15">
        <v>0</v>
      </c>
      <c r="J15">
        <v>0</v>
      </c>
      <c r="O15">
        <v>0</v>
      </c>
      <c r="P15">
        <v>0</v>
      </c>
      <c r="Q15">
        <v>0</v>
      </c>
      <c r="R15">
        <v>0</v>
      </c>
    </row>
    <row r="16" spans="1:18" x14ac:dyDescent="0.2">
      <c r="B16">
        <v>20</v>
      </c>
      <c r="C16">
        <v>0</v>
      </c>
      <c r="D16">
        <v>0</v>
      </c>
      <c r="E16">
        <v>0</v>
      </c>
      <c r="G16">
        <v>20</v>
      </c>
      <c r="H16">
        <v>0</v>
      </c>
      <c r="I16">
        <v>0</v>
      </c>
      <c r="J16">
        <v>0</v>
      </c>
      <c r="O16">
        <v>19</v>
      </c>
      <c r="P16">
        <v>1</v>
      </c>
      <c r="Q16">
        <v>0</v>
      </c>
      <c r="R16">
        <v>0</v>
      </c>
    </row>
    <row r="17" spans="1:34" x14ac:dyDescent="0.2">
      <c r="B17">
        <v>0</v>
      </c>
      <c r="C17">
        <v>0</v>
      </c>
      <c r="D17">
        <v>0</v>
      </c>
      <c r="E17">
        <v>0</v>
      </c>
      <c r="G17">
        <v>0</v>
      </c>
      <c r="H17">
        <v>0</v>
      </c>
      <c r="I17">
        <v>0</v>
      </c>
      <c r="J17">
        <v>0</v>
      </c>
      <c r="O17">
        <v>0</v>
      </c>
      <c r="P17">
        <v>0</v>
      </c>
      <c r="Q17">
        <v>0</v>
      </c>
      <c r="R17">
        <v>0</v>
      </c>
    </row>
    <row r="18" spans="1:34" s="18" customFormat="1" x14ac:dyDescent="0.2">
      <c r="A18"/>
      <c r="B18">
        <v>20</v>
      </c>
      <c r="C18">
        <v>0</v>
      </c>
      <c r="D18">
        <v>0</v>
      </c>
      <c r="E18">
        <v>0</v>
      </c>
      <c r="F18"/>
      <c r="G18">
        <v>20</v>
      </c>
      <c r="H18">
        <v>0</v>
      </c>
      <c r="I18">
        <v>0</v>
      </c>
      <c r="J18">
        <v>0</v>
      </c>
      <c r="K18"/>
      <c r="L18"/>
      <c r="M18"/>
      <c r="N18"/>
      <c r="O18">
        <v>20</v>
      </c>
      <c r="P18">
        <v>0</v>
      </c>
      <c r="Q18">
        <v>0</v>
      </c>
      <c r="R18">
        <v>0</v>
      </c>
      <c r="S18"/>
      <c r="T18"/>
      <c r="U18"/>
      <c r="V18"/>
      <c r="W18"/>
      <c r="X18"/>
      <c r="Y18"/>
      <c r="Z18"/>
      <c r="AA18"/>
      <c r="AB18"/>
      <c r="AC18"/>
      <c r="AD18"/>
      <c r="AE18"/>
      <c r="AF18"/>
      <c r="AG18"/>
      <c r="AH18"/>
    </row>
    <row r="19" spans="1:34" x14ac:dyDescent="0.2">
      <c r="B19">
        <v>20</v>
      </c>
      <c r="C19">
        <v>0</v>
      </c>
      <c r="D19">
        <v>0</v>
      </c>
      <c r="E19">
        <v>1</v>
      </c>
      <c r="G19">
        <v>20</v>
      </c>
      <c r="H19">
        <v>0</v>
      </c>
      <c r="I19">
        <v>0</v>
      </c>
      <c r="J19">
        <v>1</v>
      </c>
      <c r="O19" s="18">
        <v>0</v>
      </c>
      <c r="P19">
        <v>0</v>
      </c>
      <c r="Q19">
        <v>0</v>
      </c>
      <c r="R19">
        <v>1</v>
      </c>
      <c r="T19" t="s">
        <v>128</v>
      </c>
    </row>
    <row r="20" spans="1:34" x14ac:dyDescent="0.2">
      <c r="B20">
        <v>0</v>
      </c>
      <c r="C20">
        <v>0</v>
      </c>
      <c r="D20">
        <v>0</v>
      </c>
      <c r="E20">
        <v>0</v>
      </c>
      <c r="G20">
        <v>0</v>
      </c>
      <c r="H20">
        <v>0</v>
      </c>
      <c r="I20">
        <v>0</v>
      </c>
      <c r="J20">
        <v>0</v>
      </c>
      <c r="O20">
        <v>0</v>
      </c>
      <c r="P20">
        <v>0</v>
      </c>
      <c r="Q20">
        <v>0</v>
      </c>
      <c r="R20">
        <v>0</v>
      </c>
    </row>
    <row r="21" spans="1:34" x14ac:dyDescent="0.2">
      <c r="B21">
        <v>20</v>
      </c>
      <c r="C21">
        <v>0</v>
      </c>
      <c r="D21">
        <v>0</v>
      </c>
      <c r="E21">
        <v>0</v>
      </c>
      <c r="G21">
        <v>18</v>
      </c>
      <c r="H21">
        <v>0</v>
      </c>
      <c r="I21">
        <v>0</v>
      </c>
      <c r="J21">
        <v>0</v>
      </c>
      <c r="O21">
        <v>0</v>
      </c>
      <c r="P21">
        <v>0</v>
      </c>
      <c r="Q21">
        <v>0</v>
      </c>
      <c r="R21">
        <v>0</v>
      </c>
    </row>
    <row r="22" spans="1:34" x14ac:dyDescent="0.2">
      <c r="B22">
        <v>20</v>
      </c>
      <c r="C22">
        <v>0</v>
      </c>
      <c r="D22">
        <v>0</v>
      </c>
      <c r="E22">
        <v>0</v>
      </c>
      <c r="G22">
        <v>20</v>
      </c>
      <c r="H22">
        <v>0</v>
      </c>
      <c r="I22">
        <v>0</v>
      </c>
      <c r="J22">
        <v>0</v>
      </c>
      <c r="O22">
        <v>0</v>
      </c>
      <c r="P22">
        <v>0</v>
      </c>
      <c r="Q22">
        <v>0</v>
      </c>
      <c r="R22">
        <v>0</v>
      </c>
    </row>
    <row r="23" spans="1:34" x14ac:dyDescent="0.2">
      <c r="B23">
        <v>20</v>
      </c>
      <c r="C23">
        <v>0</v>
      </c>
      <c r="D23">
        <v>0</v>
      </c>
      <c r="E23">
        <v>0</v>
      </c>
      <c r="G23">
        <v>0</v>
      </c>
      <c r="H23">
        <v>0</v>
      </c>
      <c r="I23">
        <v>0</v>
      </c>
      <c r="J23">
        <v>0</v>
      </c>
      <c r="O23">
        <v>1</v>
      </c>
      <c r="P23">
        <v>0</v>
      </c>
      <c r="Q23">
        <v>0</v>
      </c>
      <c r="R23">
        <v>0</v>
      </c>
    </row>
    <row r="24" spans="1:34" x14ac:dyDescent="0.2">
      <c r="B24">
        <v>17</v>
      </c>
      <c r="C24">
        <v>0</v>
      </c>
      <c r="D24">
        <v>0</v>
      </c>
      <c r="E24">
        <v>0</v>
      </c>
      <c r="F24" s="3"/>
      <c r="G24">
        <v>0</v>
      </c>
      <c r="H24">
        <v>0</v>
      </c>
      <c r="I24">
        <v>0</v>
      </c>
      <c r="J24">
        <v>0</v>
      </c>
      <c r="N24" s="3"/>
      <c r="O24">
        <v>20</v>
      </c>
      <c r="P24">
        <v>0</v>
      </c>
      <c r="Q24">
        <v>0</v>
      </c>
      <c r="R24">
        <v>0</v>
      </c>
    </row>
    <row r="25" spans="1:34" x14ac:dyDescent="0.2">
      <c r="B25">
        <v>11</v>
      </c>
      <c r="C25">
        <v>3</v>
      </c>
      <c r="D25">
        <v>0</v>
      </c>
      <c r="E25">
        <v>0</v>
      </c>
      <c r="G25">
        <v>20</v>
      </c>
      <c r="H25">
        <v>0</v>
      </c>
      <c r="I25">
        <v>0</v>
      </c>
      <c r="J25">
        <v>0</v>
      </c>
      <c r="O25">
        <v>17</v>
      </c>
      <c r="P25">
        <v>0</v>
      </c>
      <c r="Q25">
        <v>0</v>
      </c>
      <c r="R25">
        <v>0</v>
      </c>
    </row>
    <row r="26" spans="1:34" x14ac:dyDescent="0.2">
      <c r="B26">
        <v>3</v>
      </c>
      <c r="C26">
        <v>13</v>
      </c>
      <c r="D26">
        <v>0</v>
      </c>
      <c r="E26">
        <v>0</v>
      </c>
      <c r="G26">
        <v>0</v>
      </c>
      <c r="H26">
        <v>0</v>
      </c>
      <c r="I26">
        <v>0</v>
      </c>
      <c r="J26">
        <v>0</v>
      </c>
      <c r="O26">
        <v>1</v>
      </c>
      <c r="P26">
        <v>0</v>
      </c>
      <c r="Q26">
        <v>0</v>
      </c>
      <c r="R26">
        <v>0</v>
      </c>
    </row>
    <row r="27" spans="1:34" x14ac:dyDescent="0.2">
      <c r="B27">
        <v>0</v>
      </c>
      <c r="C27">
        <v>0</v>
      </c>
      <c r="D27">
        <v>0</v>
      </c>
      <c r="E27">
        <v>0</v>
      </c>
      <c r="G27">
        <v>0</v>
      </c>
      <c r="H27">
        <v>0</v>
      </c>
      <c r="I27">
        <v>0</v>
      </c>
      <c r="J27">
        <v>0</v>
      </c>
      <c r="O27">
        <v>0</v>
      </c>
      <c r="P27">
        <v>0</v>
      </c>
      <c r="Q27">
        <v>0</v>
      </c>
      <c r="R27" s="18">
        <v>20</v>
      </c>
      <c r="T27" t="s">
        <v>135</v>
      </c>
    </row>
    <row r="28" spans="1:34" x14ac:dyDescent="0.2">
      <c r="B28">
        <v>19</v>
      </c>
      <c r="C28">
        <v>1</v>
      </c>
      <c r="D28">
        <v>0</v>
      </c>
      <c r="E28">
        <v>0</v>
      </c>
      <c r="G28">
        <v>0</v>
      </c>
      <c r="H28">
        <v>0</v>
      </c>
      <c r="I28">
        <v>0</v>
      </c>
      <c r="J28">
        <v>0</v>
      </c>
      <c r="O28">
        <v>18</v>
      </c>
      <c r="P28">
        <v>0</v>
      </c>
      <c r="Q28">
        <v>0</v>
      </c>
      <c r="R28">
        <v>0</v>
      </c>
    </row>
    <row r="29" spans="1:34" x14ac:dyDescent="0.2">
      <c r="B29">
        <f>SUM(B14:B28)</f>
        <v>170</v>
      </c>
      <c r="C29">
        <f t="shared" ref="C29:E29" si="0">SUM(C14:C28)</f>
        <v>17</v>
      </c>
      <c r="D29">
        <f t="shared" si="0"/>
        <v>0</v>
      </c>
      <c r="E29">
        <f t="shared" si="0"/>
        <v>1</v>
      </c>
      <c r="G29">
        <f>SUM(G14:G28)</f>
        <v>118</v>
      </c>
      <c r="H29">
        <f t="shared" ref="H29:J29" si="1">SUM(H14:H28)</f>
        <v>0</v>
      </c>
      <c r="I29">
        <f t="shared" si="1"/>
        <v>0</v>
      </c>
      <c r="J29">
        <f t="shared" si="1"/>
        <v>1</v>
      </c>
      <c r="O29">
        <f>SUM(O14:O28)</f>
        <v>96</v>
      </c>
      <c r="P29">
        <f t="shared" ref="P29:R29" si="2">SUM(P14:P28)</f>
        <v>1</v>
      </c>
      <c r="Q29">
        <f t="shared" si="2"/>
        <v>0</v>
      </c>
      <c r="R29">
        <f t="shared" si="2"/>
        <v>21</v>
      </c>
    </row>
    <row r="30" spans="1:34" x14ac:dyDescent="0.2">
      <c r="A30" s="3" t="s">
        <v>136</v>
      </c>
      <c r="B30" t="s">
        <v>144</v>
      </c>
      <c r="C30" t="s">
        <v>145</v>
      </c>
      <c r="F30" s="3" t="s">
        <v>136</v>
      </c>
      <c r="N30" s="3" t="s">
        <v>136</v>
      </c>
    </row>
    <row r="31" spans="1:34" x14ac:dyDescent="0.2">
      <c r="A31" s="17"/>
      <c r="B31" s="17">
        <v>0</v>
      </c>
      <c r="C31" s="17">
        <v>0</v>
      </c>
      <c r="D31" s="17">
        <v>0</v>
      </c>
      <c r="E31" s="17">
        <v>0</v>
      </c>
      <c r="F31" s="17"/>
      <c r="G31" s="17">
        <v>0</v>
      </c>
      <c r="H31" s="17">
        <v>0</v>
      </c>
      <c r="I31" s="17">
        <v>0</v>
      </c>
      <c r="J31" s="17">
        <v>0</v>
      </c>
      <c r="K31" s="17"/>
      <c r="L31" s="17"/>
      <c r="M31" s="17"/>
      <c r="N31" s="17"/>
      <c r="O31">
        <v>20</v>
      </c>
      <c r="P31">
        <v>0</v>
      </c>
      <c r="Q31" s="17">
        <v>20</v>
      </c>
      <c r="R31" s="17">
        <v>0</v>
      </c>
      <c r="S31" s="17"/>
      <c r="T31" s="17"/>
    </row>
    <row r="32" spans="1:34" x14ac:dyDescent="0.2">
      <c r="A32" s="17"/>
      <c r="B32" s="17">
        <v>0</v>
      </c>
      <c r="C32" s="17">
        <v>0</v>
      </c>
      <c r="D32" s="17">
        <v>0</v>
      </c>
      <c r="E32" s="17">
        <v>0</v>
      </c>
      <c r="F32" s="17"/>
      <c r="G32" s="17">
        <v>0</v>
      </c>
      <c r="H32" s="17">
        <v>0</v>
      </c>
      <c r="I32" s="17">
        <v>0</v>
      </c>
      <c r="J32" s="17">
        <v>0</v>
      </c>
      <c r="K32" s="17"/>
      <c r="L32" s="17"/>
      <c r="M32" s="17"/>
      <c r="N32" s="17"/>
      <c r="O32">
        <v>0</v>
      </c>
      <c r="P32">
        <v>0</v>
      </c>
      <c r="Q32" s="17">
        <v>0</v>
      </c>
      <c r="R32" s="17">
        <v>0</v>
      </c>
      <c r="S32" s="17"/>
      <c r="T32" s="17"/>
    </row>
    <row r="33" spans="1:20" x14ac:dyDescent="0.2">
      <c r="A33" s="17" t="s">
        <v>137</v>
      </c>
      <c r="B33" s="17">
        <v>20</v>
      </c>
      <c r="C33" s="17">
        <v>4</v>
      </c>
      <c r="D33" s="17">
        <v>1</v>
      </c>
      <c r="E33" s="17">
        <v>0</v>
      </c>
      <c r="F33" s="17"/>
      <c r="G33" s="17">
        <v>0</v>
      </c>
      <c r="H33" s="17">
        <v>0</v>
      </c>
      <c r="I33" s="17">
        <v>0</v>
      </c>
      <c r="J33" s="17">
        <v>0</v>
      </c>
      <c r="K33" s="17"/>
      <c r="L33" s="17"/>
      <c r="M33" s="17"/>
      <c r="N33" s="17"/>
      <c r="O33">
        <v>20</v>
      </c>
      <c r="P33">
        <v>0</v>
      </c>
      <c r="Q33" s="17">
        <v>20</v>
      </c>
      <c r="R33" s="17">
        <v>0</v>
      </c>
      <c r="S33" s="20"/>
      <c r="T33" s="17"/>
    </row>
    <row r="34" spans="1:20" x14ac:dyDescent="0.2">
      <c r="A34" s="17" t="s">
        <v>137</v>
      </c>
      <c r="B34" s="17">
        <v>20</v>
      </c>
      <c r="C34" s="17">
        <v>0</v>
      </c>
      <c r="D34" s="17">
        <v>0</v>
      </c>
      <c r="E34" s="17">
        <v>0</v>
      </c>
      <c r="F34" s="17"/>
      <c r="G34" s="17">
        <v>0</v>
      </c>
      <c r="H34" s="17">
        <v>0</v>
      </c>
      <c r="I34" s="17">
        <v>0</v>
      </c>
      <c r="J34" s="17">
        <v>0</v>
      </c>
      <c r="K34" s="17"/>
      <c r="L34" s="17"/>
      <c r="M34" s="17"/>
      <c r="N34" s="17"/>
      <c r="O34">
        <v>20</v>
      </c>
      <c r="P34">
        <v>0</v>
      </c>
      <c r="Q34" s="17">
        <v>12</v>
      </c>
      <c r="R34" s="17">
        <v>0</v>
      </c>
      <c r="S34" s="17"/>
      <c r="T34" s="17"/>
    </row>
    <row r="35" spans="1:20" x14ac:dyDescent="0.2">
      <c r="A35" s="17" t="s">
        <v>138</v>
      </c>
      <c r="B35" s="17">
        <v>20</v>
      </c>
      <c r="C35" s="17">
        <v>17</v>
      </c>
      <c r="D35" s="17">
        <v>17</v>
      </c>
      <c r="E35" s="17">
        <v>0</v>
      </c>
      <c r="F35" s="17"/>
      <c r="G35" s="17">
        <v>20</v>
      </c>
      <c r="H35" s="17">
        <v>0</v>
      </c>
      <c r="I35" s="17">
        <v>20</v>
      </c>
      <c r="J35" s="17">
        <v>0</v>
      </c>
      <c r="K35" s="17"/>
      <c r="L35" s="17"/>
      <c r="M35" s="17"/>
      <c r="N35" s="17"/>
      <c r="O35">
        <v>20</v>
      </c>
      <c r="P35">
        <v>0</v>
      </c>
      <c r="Q35" s="17">
        <v>20</v>
      </c>
      <c r="R35" s="17">
        <v>0</v>
      </c>
      <c r="S35" s="20"/>
      <c r="T35" s="17"/>
    </row>
    <row r="36" spans="1:20" x14ac:dyDescent="0.2">
      <c r="A36" s="17"/>
      <c r="B36" s="17">
        <v>0</v>
      </c>
      <c r="C36" s="17">
        <v>0</v>
      </c>
      <c r="D36" s="17">
        <v>0</v>
      </c>
      <c r="E36" s="17">
        <v>0</v>
      </c>
      <c r="F36" s="17"/>
      <c r="G36" s="17">
        <v>0</v>
      </c>
      <c r="H36" s="17">
        <v>0</v>
      </c>
      <c r="I36" s="17">
        <v>0</v>
      </c>
      <c r="J36" s="17">
        <v>0</v>
      </c>
      <c r="K36" s="17"/>
      <c r="L36" s="17"/>
      <c r="M36" s="17"/>
      <c r="N36" s="17"/>
      <c r="O36">
        <v>0</v>
      </c>
      <c r="P36">
        <v>0</v>
      </c>
      <c r="Q36" s="17">
        <v>0</v>
      </c>
      <c r="R36" s="17">
        <v>0</v>
      </c>
      <c r="S36" s="17"/>
      <c r="T36" s="17"/>
    </row>
    <row r="37" spans="1:20" x14ac:dyDescent="0.2">
      <c r="A37" s="17"/>
      <c r="B37" s="17">
        <v>0</v>
      </c>
      <c r="C37" s="17">
        <v>0</v>
      </c>
      <c r="D37" s="17">
        <v>0</v>
      </c>
      <c r="E37" s="17">
        <v>0</v>
      </c>
      <c r="F37" s="17"/>
      <c r="G37" s="17">
        <v>0</v>
      </c>
      <c r="H37" s="17">
        <v>0</v>
      </c>
      <c r="I37" s="17">
        <v>0</v>
      </c>
      <c r="J37" s="17">
        <v>0</v>
      </c>
      <c r="K37" s="17"/>
      <c r="L37" s="17"/>
      <c r="M37" s="17"/>
      <c r="N37" s="17"/>
      <c r="O37">
        <v>0</v>
      </c>
      <c r="P37">
        <v>0</v>
      </c>
      <c r="Q37" s="17">
        <v>0</v>
      </c>
      <c r="R37" s="17">
        <v>0</v>
      </c>
      <c r="S37" s="17"/>
      <c r="T37" s="17"/>
    </row>
    <row r="38" spans="1:20" x14ac:dyDescent="0.2">
      <c r="A38" s="17"/>
      <c r="B38" s="17">
        <v>0</v>
      </c>
      <c r="C38" s="17">
        <v>0</v>
      </c>
      <c r="D38" s="17">
        <v>0</v>
      </c>
      <c r="E38" s="17">
        <v>0</v>
      </c>
      <c r="F38" s="17"/>
      <c r="G38" s="17">
        <v>0</v>
      </c>
      <c r="H38" s="17">
        <v>0</v>
      </c>
      <c r="I38" s="17">
        <v>0</v>
      </c>
      <c r="J38" s="17">
        <v>0</v>
      </c>
      <c r="K38" s="17"/>
      <c r="L38" s="17"/>
      <c r="M38" s="17"/>
      <c r="N38" s="17"/>
      <c r="O38">
        <v>0</v>
      </c>
      <c r="P38">
        <v>0</v>
      </c>
      <c r="Q38" s="17">
        <v>0</v>
      </c>
      <c r="R38" s="17">
        <v>0</v>
      </c>
      <c r="S38" s="17"/>
      <c r="T38" s="17"/>
    </row>
    <row r="39" spans="1:20" s="3" customFormat="1" x14ac:dyDescent="0.2">
      <c r="A39" s="17"/>
      <c r="B39" s="17">
        <v>0</v>
      </c>
      <c r="C39" s="17">
        <v>0</v>
      </c>
      <c r="D39" s="17">
        <v>0</v>
      </c>
      <c r="E39" s="17">
        <v>0</v>
      </c>
      <c r="F39" s="17"/>
      <c r="G39" s="17">
        <v>0</v>
      </c>
      <c r="H39" s="17">
        <v>0</v>
      </c>
      <c r="I39" s="17">
        <v>0</v>
      </c>
      <c r="J39" s="17">
        <v>0</v>
      </c>
      <c r="K39" s="17"/>
      <c r="L39" s="17"/>
      <c r="M39" s="17"/>
      <c r="N39" s="17"/>
      <c r="O39" s="17">
        <v>0</v>
      </c>
      <c r="P39" s="17">
        <v>0</v>
      </c>
      <c r="Q39" s="17">
        <v>0</v>
      </c>
      <c r="R39" s="17">
        <v>0</v>
      </c>
      <c r="S39" s="17"/>
      <c r="T39" s="17"/>
    </row>
    <row r="40" spans="1:20" x14ac:dyDescent="0.2">
      <c r="A40" s="17">
        <v>10</v>
      </c>
      <c r="B40" s="17">
        <v>0</v>
      </c>
      <c r="C40" s="17">
        <v>0</v>
      </c>
      <c r="D40" s="17">
        <v>0</v>
      </c>
      <c r="E40" s="17">
        <v>0</v>
      </c>
      <c r="F40" s="17"/>
      <c r="G40" s="17">
        <v>0</v>
      </c>
      <c r="H40" s="17">
        <v>0</v>
      </c>
      <c r="I40" s="17">
        <v>0</v>
      </c>
      <c r="J40" s="17">
        <v>0</v>
      </c>
      <c r="K40" s="17"/>
      <c r="L40" s="17"/>
      <c r="M40" s="17"/>
      <c r="N40" s="17">
        <v>10</v>
      </c>
      <c r="O40">
        <v>0</v>
      </c>
      <c r="P40">
        <v>0</v>
      </c>
      <c r="Q40" s="17">
        <v>0</v>
      </c>
      <c r="R40" s="17">
        <v>0</v>
      </c>
      <c r="S40" s="17"/>
      <c r="T40" s="17"/>
    </row>
    <row r="41" spans="1:20" x14ac:dyDescent="0.2">
      <c r="A41" s="17"/>
      <c r="B41" s="17">
        <v>0</v>
      </c>
      <c r="C41" s="17">
        <v>0</v>
      </c>
      <c r="D41" s="17">
        <v>0</v>
      </c>
      <c r="E41" s="17">
        <v>0</v>
      </c>
      <c r="F41" s="17"/>
      <c r="G41" s="17">
        <v>0</v>
      </c>
      <c r="H41" s="17">
        <v>0</v>
      </c>
      <c r="I41" s="17">
        <v>0</v>
      </c>
      <c r="J41" s="17">
        <v>0</v>
      </c>
      <c r="K41" s="17"/>
      <c r="L41" s="17"/>
      <c r="M41" s="17"/>
      <c r="N41" s="17"/>
      <c r="O41">
        <v>0</v>
      </c>
      <c r="P41">
        <v>0</v>
      </c>
      <c r="Q41" s="17">
        <v>0</v>
      </c>
      <c r="R41" s="17">
        <v>0</v>
      </c>
      <c r="S41" s="17"/>
      <c r="T41" s="17"/>
    </row>
    <row r="42" spans="1:20" x14ac:dyDescent="0.2">
      <c r="A42" s="17"/>
      <c r="B42" s="17">
        <v>0</v>
      </c>
      <c r="C42" s="17">
        <v>0</v>
      </c>
      <c r="D42" s="17">
        <v>0</v>
      </c>
      <c r="E42" s="17">
        <v>0</v>
      </c>
      <c r="F42" s="17"/>
      <c r="G42" s="17">
        <v>0</v>
      </c>
      <c r="H42" s="17">
        <v>0</v>
      </c>
      <c r="I42" s="17">
        <v>0</v>
      </c>
      <c r="J42" s="17">
        <v>0</v>
      </c>
      <c r="K42" s="17"/>
      <c r="L42" s="17"/>
      <c r="M42" s="17"/>
      <c r="N42" s="17"/>
      <c r="O42">
        <v>0</v>
      </c>
      <c r="P42">
        <v>0</v>
      </c>
      <c r="Q42" s="17">
        <v>0</v>
      </c>
      <c r="R42" s="17">
        <v>0</v>
      </c>
      <c r="S42" s="17"/>
      <c r="T42" s="17"/>
    </row>
    <row r="43" spans="1:20" x14ac:dyDescent="0.2">
      <c r="A43" s="17"/>
      <c r="B43" s="17">
        <v>0</v>
      </c>
      <c r="C43" s="17">
        <v>0</v>
      </c>
      <c r="D43" s="17">
        <v>0</v>
      </c>
      <c r="E43" s="17">
        <v>0</v>
      </c>
      <c r="F43" s="17"/>
      <c r="G43" s="17">
        <v>1</v>
      </c>
      <c r="H43" s="17">
        <v>0</v>
      </c>
      <c r="I43" s="17">
        <v>0</v>
      </c>
      <c r="J43" s="17">
        <v>0</v>
      </c>
      <c r="K43" s="17"/>
      <c r="L43" s="17"/>
      <c r="M43" s="17"/>
      <c r="N43" s="17"/>
      <c r="O43">
        <v>0</v>
      </c>
      <c r="P43">
        <v>0</v>
      </c>
      <c r="Q43" s="17">
        <v>0</v>
      </c>
      <c r="R43" s="17">
        <v>0</v>
      </c>
      <c r="S43" s="17"/>
      <c r="T43" s="17"/>
    </row>
    <row r="44" spans="1:20" x14ac:dyDescent="0.2">
      <c r="A44" s="17"/>
      <c r="B44" s="17">
        <v>0</v>
      </c>
      <c r="C44" s="17">
        <v>0</v>
      </c>
      <c r="D44" s="17">
        <v>0</v>
      </c>
      <c r="E44" s="17">
        <v>0</v>
      </c>
      <c r="F44" s="17"/>
      <c r="G44" s="17">
        <v>0</v>
      </c>
      <c r="H44" s="17">
        <v>0</v>
      </c>
      <c r="I44" s="17">
        <v>0</v>
      </c>
      <c r="J44" s="17">
        <v>0</v>
      </c>
      <c r="K44" s="17"/>
      <c r="L44" s="17"/>
      <c r="M44" s="17"/>
      <c r="N44" s="17"/>
      <c r="O44">
        <v>20</v>
      </c>
      <c r="P44">
        <v>0</v>
      </c>
      <c r="Q44" s="17">
        <v>20</v>
      </c>
      <c r="R44" s="17">
        <v>0</v>
      </c>
      <c r="S44" s="17"/>
      <c r="T44" s="17"/>
    </row>
    <row r="45" spans="1:20" s="3" customFormat="1" x14ac:dyDescent="0.2">
      <c r="A45" s="17"/>
      <c r="B45" s="17">
        <v>0</v>
      </c>
      <c r="C45" s="17">
        <v>0</v>
      </c>
      <c r="D45" s="17">
        <v>0</v>
      </c>
      <c r="E45" s="17">
        <v>0</v>
      </c>
      <c r="F45" s="17"/>
      <c r="G45" s="17">
        <v>0</v>
      </c>
      <c r="H45" s="17">
        <v>0</v>
      </c>
      <c r="I45" s="17">
        <v>0</v>
      </c>
      <c r="J45" s="17">
        <v>0</v>
      </c>
      <c r="K45" s="17"/>
      <c r="L45" s="17"/>
      <c r="M45" s="17"/>
      <c r="N45" s="17"/>
      <c r="O45" s="17">
        <v>0</v>
      </c>
      <c r="P45" s="17">
        <v>0</v>
      </c>
      <c r="Q45" s="17">
        <v>0</v>
      </c>
      <c r="R45" s="17">
        <v>0</v>
      </c>
      <c r="S45" s="17"/>
      <c r="T45" s="17"/>
    </row>
    <row r="46" spans="1:20" s="3" customFormat="1" x14ac:dyDescent="0.2">
      <c r="A46" s="17"/>
      <c r="B46" s="17">
        <v>0</v>
      </c>
      <c r="C46" s="17">
        <v>0</v>
      </c>
      <c r="D46" s="17">
        <v>0</v>
      </c>
      <c r="E46" s="17">
        <v>0</v>
      </c>
      <c r="F46" s="17"/>
      <c r="G46" s="17">
        <v>0</v>
      </c>
      <c r="H46" s="17">
        <v>0</v>
      </c>
      <c r="I46" s="17">
        <v>0</v>
      </c>
      <c r="J46" s="17">
        <v>0</v>
      </c>
      <c r="K46" s="17"/>
      <c r="L46" s="17"/>
      <c r="M46" s="17"/>
      <c r="N46" s="17"/>
      <c r="O46" s="17">
        <v>20</v>
      </c>
      <c r="P46" s="17">
        <v>0</v>
      </c>
      <c r="Q46" s="17">
        <v>20</v>
      </c>
      <c r="R46" s="17">
        <v>0</v>
      </c>
      <c r="S46" s="17"/>
      <c r="T46" s="17"/>
    </row>
    <row r="47" spans="1:20" s="3" customFormat="1" x14ac:dyDescent="0.2">
      <c r="A47" s="17"/>
      <c r="B47" s="17">
        <v>0</v>
      </c>
      <c r="C47" s="17">
        <v>0</v>
      </c>
      <c r="D47" s="17">
        <v>0</v>
      </c>
      <c r="E47" s="17">
        <v>0</v>
      </c>
      <c r="F47" s="17"/>
      <c r="G47" s="17">
        <v>0</v>
      </c>
      <c r="H47" s="17">
        <v>0</v>
      </c>
      <c r="I47" s="17">
        <v>0</v>
      </c>
      <c r="J47" s="17">
        <v>0</v>
      </c>
      <c r="K47" s="17"/>
      <c r="L47" s="17"/>
      <c r="M47" s="17"/>
      <c r="N47" s="17"/>
      <c r="O47" s="17">
        <v>0</v>
      </c>
      <c r="P47" s="17">
        <v>0</v>
      </c>
      <c r="Q47" s="17">
        <v>0</v>
      </c>
      <c r="R47" s="17">
        <v>0</v>
      </c>
      <c r="S47" s="17"/>
      <c r="T47" s="17"/>
    </row>
    <row r="48" spans="1:20" x14ac:dyDescent="0.2">
      <c r="A48" s="17"/>
      <c r="B48" s="17">
        <v>0</v>
      </c>
      <c r="C48" s="17">
        <v>0</v>
      </c>
      <c r="D48" s="17">
        <v>0</v>
      </c>
      <c r="E48" s="17">
        <v>0</v>
      </c>
      <c r="F48" s="17"/>
      <c r="G48" s="17">
        <v>0</v>
      </c>
      <c r="H48" s="17">
        <v>0</v>
      </c>
      <c r="I48" s="17">
        <v>0</v>
      </c>
      <c r="J48" s="17">
        <v>0</v>
      </c>
      <c r="K48" s="17"/>
      <c r="L48" s="17"/>
      <c r="M48" s="17"/>
      <c r="N48" s="17"/>
      <c r="O48" s="17">
        <v>0</v>
      </c>
      <c r="P48" s="17">
        <v>0</v>
      </c>
      <c r="Q48" s="17">
        <v>0</v>
      </c>
      <c r="R48" s="17">
        <v>0</v>
      </c>
      <c r="S48" s="17"/>
      <c r="T48" s="17"/>
    </row>
    <row r="49" spans="1:28" s="3" customFormat="1" x14ac:dyDescent="0.2">
      <c r="A49" s="17"/>
      <c r="B49" s="17">
        <v>0</v>
      </c>
      <c r="C49" s="17">
        <v>0</v>
      </c>
      <c r="D49" s="17">
        <v>0</v>
      </c>
      <c r="E49" s="17">
        <v>0</v>
      </c>
      <c r="F49" s="17"/>
      <c r="G49" s="17">
        <v>0</v>
      </c>
      <c r="H49" s="17">
        <v>0</v>
      </c>
      <c r="I49" s="17">
        <v>0</v>
      </c>
      <c r="J49" s="17">
        <v>0</v>
      </c>
      <c r="K49" s="17"/>
      <c r="L49" s="17"/>
      <c r="M49" s="17"/>
      <c r="N49" s="17"/>
      <c r="O49" s="17">
        <v>20</v>
      </c>
      <c r="P49" s="17">
        <v>0</v>
      </c>
      <c r="Q49" s="17">
        <v>20</v>
      </c>
      <c r="R49" s="17">
        <v>0</v>
      </c>
      <c r="S49" s="17"/>
      <c r="T49" s="17"/>
    </row>
    <row r="50" spans="1:28" x14ac:dyDescent="0.2">
      <c r="A50" s="17">
        <v>20</v>
      </c>
      <c r="B50" s="21">
        <v>0</v>
      </c>
      <c r="C50" s="21">
        <v>0</v>
      </c>
      <c r="D50" s="17">
        <v>0</v>
      </c>
      <c r="E50" s="17">
        <v>0</v>
      </c>
      <c r="F50" s="17"/>
      <c r="G50" s="17">
        <v>0</v>
      </c>
      <c r="H50" s="17">
        <v>0</v>
      </c>
      <c r="I50" s="17">
        <v>0</v>
      </c>
      <c r="J50" s="17">
        <v>0</v>
      </c>
      <c r="K50" s="17"/>
      <c r="L50" s="17"/>
      <c r="M50" s="17"/>
      <c r="N50" s="17">
        <v>20</v>
      </c>
      <c r="O50" s="17">
        <v>0</v>
      </c>
      <c r="P50" s="17">
        <v>0</v>
      </c>
      <c r="Q50" s="17">
        <v>0</v>
      </c>
      <c r="R50" s="17">
        <v>0</v>
      </c>
      <c r="S50" s="17"/>
      <c r="T50" s="17"/>
    </row>
    <row r="51" spans="1:28" s="3" customFormat="1" x14ac:dyDescent="0.2">
      <c r="A51" s="17"/>
      <c r="B51" s="17">
        <v>0</v>
      </c>
      <c r="C51" s="17">
        <v>0</v>
      </c>
      <c r="D51" s="17">
        <v>0</v>
      </c>
      <c r="E51" s="17">
        <v>0</v>
      </c>
      <c r="F51" s="17"/>
      <c r="G51" s="17">
        <v>0</v>
      </c>
      <c r="H51" s="17">
        <v>0</v>
      </c>
      <c r="I51" s="17">
        <v>0</v>
      </c>
      <c r="J51" s="17">
        <v>0</v>
      </c>
      <c r="K51" s="17"/>
      <c r="L51" s="17"/>
      <c r="M51" s="17"/>
      <c r="N51" s="17"/>
      <c r="O51" s="17">
        <v>0</v>
      </c>
      <c r="P51" s="17">
        <v>0</v>
      </c>
      <c r="Q51" s="17">
        <v>0</v>
      </c>
      <c r="R51" s="17">
        <v>0</v>
      </c>
      <c r="S51" s="17"/>
      <c r="T51" s="17"/>
    </row>
    <row r="52" spans="1:28" x14ac:dyDescent="0.2">
      <c r="A52" s="17"/>
      <c r="B52" s="17">
        <v>0</v>
      </c>
      <c r="C52" s="17">
        <v>0</v>
      </c>
      <c r="D52" s="17">
        <v>0</v>
      </c>
      <c r="E52" s="17">
        <v>0</v>
      </c>
      <c r="F52" s="17"/>
      <c r="G52" s="17">
        <v>0</v>
      </c>
      <c r="H52" s="17">
        <v>0</v>
      </c>
      <c r="I52" s="17">
        <v>0</v>
      </c>
      <c r="J52" s="17">
        <v>0</v>
      </c>
      <c r="K52" s="17"/>
      <c r="L52" s="17"/>
      <c r="M52" s="17"/>
      <c r="N52" s="17"/>
      <c r="O52" s="17">
        <v>0</v>
      </c>
      <c r="P52" s="17">
        <v>0</v>
      </c>
      <c r="Q52" s="17">
        <v>0</v>
      </c>
      <c r="R52" s="17">
        <v>0</v>
      </c>
      <c r="S52" s="17"/>
      <c r="T52" s="17"/>
    </row>
    <row r="53" spans="1:28" x14ac:dyDescent="0.2">
      <c r="A53" s="17" t="s">
        <v>137</v>
      </c>
      <c r="B53" s="17">
        <v>20</v>
      </c>
      <c r="C53" s="17">
        <v>14</v>
      </c>
      <c r="D53" s="17">
        <v>14</v>
      </c>
      <c r="E53" s="17">
        <v>0</v>
      </c>
      <c r="F53" s="17"/>
      <c r="G53" s="17">
        <v>2</v>
      </c>
      <c r="H53" s="17">
        <v>0</v>
      </c>
      <c r="I53" s="17">
        <v>0</v>
      </c>
      <c r="J53" s="17">
        <v>0</v>
      </c>
      <c r="K53" s="17"/>
      <c r="L53" s="17"/>
      <c r="M53" s="17"/>
      <c r="N53" s="17"/>
      <c r="O53" s="17">
        <v>20</v>
      </c>
      <c r="P53" s="17">
        <v>0</v>
      </c>
      <c r="Q53" s="17">
        <v>20</v>
      </c>
      <c r="R53" s="17">
        <v>0</v>
      </c>
      <c r="S53" s="17"/>
      <c r="T53" s="17"/>
    </row>
    <row r="54" spans="1:28" x14ac:dyDescent="0.2">
      <c r="A54" s="17"/>
      <c r="B54" s="17">
        <v>0</v>
      </c>
      <c r="C54" s="17">
        <v>0</v>
      </c>
      <c r="D54" s="17">
        <v>0</v>
      </c>
      <c r="E54" s="17">
        <v>0</v>
      </c>
      <c r="F54" s="17"/>
      <c r="G54" s="17">
        <v>0</v>
      </c>
      <c r="H54" s="17">
        <v>0</v>
      </c>
      <c r="I54" s="17">
        <v>0</v>
      </c>
      <c r="J54" s="17">
        <v>0</v>
      </c>
      <c r="K54" s="17"/>
      <c r="L54" s="17"/>
      <c r="M54" s="17"/>
      <c r="N54" s="17"/>
      <c r="O54" s="17">
        <v>2</v>
      </c>
      <c r="P54" s="17">
        <v>0</v>
      </c>
      <c r="Q54" s="17">
        <v>3</v>
      </c>
      <c r="R54" s="17">
        <v>0</v>
      </c>
      <c r="S54" s="17"/>
      <c r="T54" s="17"/>
    </row>
    <row r="55" spans="1:28" x14ac:dyDescent="0.2">
      <c r="A55" s="17" t="s">
        <v>137</v>
      </c>
      <c r="B55" s="17">
        <v>20</v>
      </c>
      <c r="C55" s="17">
        <v>20</v>
      </c>
      <c r="D55" s="17">
        <v>0</v>
      </c>
      <c r="E55" s="17">
        <v>0</v>
      </c>
      <c r="F55" s="17"/>
      <c r="G55" s="17">
        <v>0</v>
      </c>
      <c r="H55" s="17">
        <v>0</v>
      </c>
      <c r="I55" s="17">
        <v>0</v>
      </c>
      <c r="J55" s="17">
        <v>0</v>
      </c>
      <c r="K55" s="17"/>
      <c r="L55" s="17"/>
      <c r="M55" s="17"/>
      <c r="N55" s="17"/>
      <c r="O55" s="17">
        <v>20</v>
      </c>
      <c r="P55" s="17">
        <v>0</v>
      </c>
      <c r="Q55" s="17">
        <v>20</v>
      </c>
      <c r="R55" s="17">
        <v>0</v>
      </c>
      <c r="S55" s="17"/>
      <c r="T55" s="17"/>
    </row>
    <row r="56" spans="1:28" x14ac:dyDescent="0.2">
      <c r="A56" s="17"/>
      <c r="B56" s="17">
        <v>0</v>
      </c>
      <c r="C56" s="17">
        <v>0</v>
      </c>
      <c r="D56" s="17">
        <v>0</v>
      </c>
      <c r="E56" s="17">
        <v>0</v>
      </c>
      <c r="F56" s="17"/>
      <c r="G56" s="17">
        <v>0</v>
      </c>
      <c r="H56" s="17">
        <v>0</v>
      </c>
      <c r="I56" s="17">
        <v>0</v>
      </c>
      <c r="J56" s="17">
        <v>0</v>
      </c>
      <c r="K56" s="17"/>
      <c r="L56" s="17"/>
      <c r="M56" s="17"/>
      <c r="N56" s="17"/>
      <c r="O56" s="17">
        <v>20</v>
      </c>
      <c r="P56" s="17">
        <v>0</v>
      </c>
      <c r="Q56" s="17">
        <v>20</v>
      </c>
      <c r="R56" s="17">
        <v>0</v>
      </c>
      <c r="S56" s="17"/>
      <c r="T56" s="17"/>
    </row>
    <row r="57" spans="1:28" x14ac:dyDescent="0.2">
      <c r="A57" s="17"/>
      <c r="B57" s="17">
        <v>0</v>
      </c>
      <c r="C57" s="17">
        <v>0</v>
      </c>
      <c r="D57" s="17">
        <v>0</v>
      </c>
      <c r="E57" s="17">
        <v>0</v>
      </c>
      <c r="F57" s="17"/>
      <c r="G57" s="17">
        <v>0</v>
      </c>
      <c r="H57" s="17">
        <v>0</v>
      </c>
      <c r="I57" s="17">
        <v>0</v>
      </c>
      <c r="J57" s="17">
        <v>0</v>
      </c>
      <c r="K57" s="17"/>
      <c r="L57" s="17"/>
      <c r="M57" s="17"/>
      <c r="N57" s="17"/>
      <c r="O57" s="17">
        <v>0</v>
      </c>
      <c r="P57" s="17">
        <v>0</v>
      </c>
      <c r="Q57" s="17">
        <v>0</v>
      </c>
      <c r="R57" s="17">
        <v>0</v>
      </c>
      <c r="S57" s="17"/>
      <c r="T57" s="17"/>
    </row>
    <row r="58" spans="1:28" x14ac:dyDescent="0.2">
      <c r="A58" s="17"/>
      <c r="B58" s="17">
        <v>0</v>
      </c>
      <c r="C58" s="17">
        <v>0</v>
      </c>
      <c r="D58" s="17">
        <v>0</v>
      </c>
      <c r="E58" s="17">
        <v>0</v>
      </c>
      <c r="F58" s="17"/>
      <c r="G58" s="17">
        <v>0</v>
      </c>
      <c r="H58" s="17">
        <v>0</v>
      </c>
      <c r="I58" s="17">
        <v>0</v>
      </c>
      <c r="J58" s="17">
        <v>0</v>
      </c>
      <c r="K58" s="17"/>
      <c r="L58" s="17"/>
      <c r="M58" s="17"/>
      <c r="N58" s="17"/>
      <c r="O58" s="17">
        <v>0</v>
      </c>
      <c r="P58" s="17">
        <v>0</v>
      </c>
      <c r="Q58" s="17">
        <v>0</v>
      </c>
      <c r="R58" s="17">
        <v>0</v>
      </c>
      <c r="S58" s="17"/>
      <c r="T58" s="17"/>
    </row>
    <row r="59" spans="1:28" x14ac:dyDescent="0.2">
      <c r="A59" s="17"/>
      <c r="B59" s="17">
        <v>0</v>
      </c>
      <c r="C59" s="17">
        <v>0</v>
      </c>
      <c r="D59" s="17">
        <v>0</v>
      </c>
      <c r="E59" s="17">
        <v>0</v>
      </c>
      <c r="F59" s="17"/>
      <c r="G59" s="17">
        <v>0</v>
      </c>
      <c r="H59" s="17">
        <v>0</v>
      </c>
      <c r="I59" s="17">
        <v>0</v>
      </c>
      <c r="J59" s="17">
        <v>0</v>
      </c>
      <c r="K59" s="17"/>
      <c r="L59" s="17"/>
      <c r="M59" s="17"/>
      <c r="N59" s="17"/>
      <c r="O59" s="17">
        <v>19</v>
      </c>
      <c r="P59" s="17">
        <v>0</v>
      </c>
      <c r="Q59" s="17">
        <v>9</v>
      </c>
      <c r="R59" s="17">
        <v>0</v>
      </c>
      <c r="S59" s="17"/>
      <c r="T59" s="17"/>
    </row>
    <row r="60" spans="1:28" x14ac:dyDescent="0.2">
      <c r="B60">
        <f>SUM(B31:B59)</f>
        <v>100</v>
      </c>
      <c r="C60">
        <f t="shared" ref="C60:E60" si="3">SUM(C31:C59)</f>
        <v>55</v>
      </c>
      <c r="D60">
        <f t="shared" si="3"/>
        <v>32</v>
      </c>
      <c r="E60">
        <f t="shared" si="3"/>
        <v>0</v>
      </c>
      <c r="G60">
        <f>SUM(G31:G59)</f>
        <v>23</v>
      </c>
      <c r="H60">
        <f t="shared" ref="H60:J60" si="4">SUM(H31:H59)</f>
        <v>0</v>
      </c>
      <c r="I60">
        <f t="shared" si="4"/>
        <v>20</v>
      </c>
      <c r="J60">
        <f t="shared" si="4"/>
        <v>0</v>
      </c>
      <c r="O60">
        <f>SUM(O31:O59)</f>
        <v>221</v>
      </c>
      <c r="P60">
        <f t="shared" ref="P60:R60" si="5">SUM(P31:P59)</f>
        <v>0</v>
      </c>
      <c r="Q60">
        <f t="shared" si="5"/>
        <v>204</v>
      </c>
      <c r="R60">
        <f t="shared" si="5"/>
        <v>0</v>
      </c>
    </row>
    <row r="61" spans="1:28" x14ac:dyDescent="0.2">
      <c r="A61" s="2" t="s">
        <v>171</v>
      </c>
      <c r="B61" t="s">
        <v>139</v>
      </c>
      <c r="C61" t="s">
        <v>140</v>
      </c>
      <c r="D61" t="s">
        <v>141</v>
      </c>
      <c r="E61" t="s">
        <v>142</v>
      </c>
      <c r="G61" s="2" t="s">
        <v>50</v>
      </c>
      <c r="H61" t="s">
        <v>139</v>
      </c>
      <c r="I61" t="s">
        <v>140</v>
      </c>
      <c r="J61" t="s">
        <v>141</v>
      </c>
      <c r="K61" t="s">
        <v>142</v>
      </c>
      <c r="O61" s="2" t="s">
        <v>53</v>
      </c>
      <c r="P61" t="s">
        <v>139</v>
      </c>
      <c r="Q61" t="s">
        <v>140</v>
      </c>
      <c r="R61" t="s">
        <v>141</v>
      </c>
      <c r="S61" t="s">
        <v>142</v>
      </c>
      <c r="W61" t="s">
        <v>205</v>
      </c>
      <c r="X61" t="s">
        <v>206</v>
      </c>
      <c r="Y61" t="s">
        <v>209</v>
      </c>
      <c r="Z61" t="s">
        <v>210</v>
      </c>
      <c r="AA61" t="s">
        <v>148</v>
      </c>
      <c r="AB61" t="s">
        <v>208</v>
      </c>
    </row>
    <row r="62" spans="1:28" x14ac:dyDescent="0.2">
      <c r="A62" s="3" t="s">
        <v>122</v>
      </c>
      <c r="B62" s="17">
        <v>10</v>
      </c>
      <c r="C62" s="17">
        <v>0</v>
      </c>
      <c r="D62" s="22">
        <f>B62/C3</f>
        <v>0.66666666666666663</v>
      </c>
      <c r="E62" s="22">
        <f>0/C3</f>
        <v>0</v>
      </c>
      <c r="G62" s="3" t="s">
        <v>122</v>
      </c>
      <c r="H62" s="17">
        <v>6</v>
      </c>
      <c r="I62" s="17">
        <v>0</v>
      </c>
      <c r="J62" s="19">
        <f>H62/C3</f>
        <v>0.4</v>
      </c>
      <c r="K62" s="19">
        <f>I62/C3</f>
        <v>0</v>
      </c>
      <c r="O62" s="3" t="s">
        <v>122</v>
      </c>
      <c r="P62">
        <v>7</v>
      </c>
      <c r="Q62" s="17">
        <v>0</v>
      </c>
      <c r="R62" s="19">
        <f>P62/C3</f>
        <v>0.46666666666666667</v>
      </c>
      <c r="S62" s="19">
        <f>Q62/C3</f>
        <v>0</v>
      </c>
      <c r="V62" s="2" t="s">
        <v>171</v>
      </c>
      <c r="W62" s="19">
        <v>0.66666666666666663</v>
      </c>
      <c r="X62" s="19">
        <v>0.14285714285714285</v>
      </c>
      <c r="Y62" s="19">
        <v>0</v>
      </c>
      <c r="Z62" s="19">
        <v>0.14285714285714285</v>
      </c>
      <c r="AA62" s="19">
        <v>0.32558139534883723</v>
      </c>
      <c r="AB62" s="19">
        <v>9.3023255813953487E-2</v>
      </c>
    </row>
    <row r="63" spans="1:28" x14ac:dyDescent="0.2">
      <c r="A63" s="3" t="s">
        <v>136</v>
      </c>
      <c r="B63" s="17">
        <v>4</v>
      </c>
      <c r="C63" s="17">
        <v>4</v>
      </c>
      <c r="D63" s="22">
        <f>B63/C4</f>
        <v>0.14285714285714285</v>
      </c>
      <c r="E63" s="22">
        <f>C63/C4</f>
        <v>0.14285714285714285</v>
      </c>
      <c r="G63" s="3" t="s">
        <v>136</v>
      </c>
      <c r="H63" s="17">
        <v>3</v>
      </c>
      <c r="I63" s="17">
        <v>2</v>
      </c>
      <c r="J63" s="19">
        <f>H63/C4</f>
        <v>0.10714285714285714</v>
      </c>
      <c r="K63" s="19">
        <f>I63/C4</f>
        <v>7.1428571428571425E-2</v>
      </c>
      <c r="O63" s="3" t="s">
        <v>136</v>
      </c>
      <c r="P63">
        <v>12</v>
      </c>
      <c r="Q63" s="17">
        <v>12</v>
      </c>
      <c r="R63" s="19">
        <f>P63/C4</f>
        <v>0.42857142857142855</v>
      </c>
      <c r="S63" s="19">
        <f>Q63/C4</f>
        <v>0.42857142857142855</v>
      </c>
      <c r="V63" s="2" t="s">
        <v>50</v>
      </c>
      <c r="W63" s="19">
        <v>0.4</v>
      </c>
      <c r="X63" s="19">
        <v>0.10714285714285714</v>
      </c>
      <c r="Y63" s="19">
        <v>0</v>
      </c>
      <c r="Z63" s="19">
        <v>7.1428571428571425E-2</v>
      </c>
      <c r="AA63" s="19">
        <v>0.20930232558139536</v>
      </c>
      <c r="AB63" s="19">
        <v>4.6511627906976744E-2</v>
      </c>
    </row>
    <row r="64" spans="1:28" x14ac:dyDescent="0.2">
      <c r="A64" t="s">
        <v>112</v>
      </c>
      <c r="B64">
        <f>SUM(B62:B63)</f>
        <v>14</v>
      </c>
      <c r="C64">
        <f>SUM(C62:C63)</f>
        <v>4</v>
      </c>
      <c r="D64" s="19">
        <f>B64/C5</f>
        <v>0.32558139534883723</v>
      </c>
      <c r="E64" s="19">
        <f>C64/C5</f>
        <v>9.3023255813953487E-2</v>
      </c>
      <c r="G64" t="s">
        <v>112</v>
      </c>
      <c r="H64">
        <f>SUM(H62:H63)</f>
        <v>9</v>
      </c>
      <c r="I64">
        <f>SUM(I62:I63)</f>
        <v>2</v>
      </c>
      <c r="J64" s="19">
        <f>H64/C5</f>
        <v>0.20930232558139536</v>
      </c>
      <c r="K64" s="19">
        <f>I64/C5</f>
        <v>4.6511627906976744E-2</v>
      </c>
      <c r="O64" t="s">
        <v>112</v>
      </c>
      <c r="P64">
        <f>SUM(P62:P63)</f>
        <v>19</v>
      </c>
      <c r="Q64">
        <f>SUM(Q62:Q63)</f>
        <v>12</v>
      </c>
      <c r="R64" s="19">
        <f>P64/C5</f>
        <v>0.44186046511627908</v>
      </c>
      <c r="S64" s="19">
        <f>Q64/C5</f>
        <v>0.27906976744186046</v>
      </c>
      <c r="V64" s="2" t="s">
        <v>53</v>
      </c>
      <c r="W64" s="19">
        <v>0.46666666666666667</v>
      </c>
      <c r="X64" s="19">
        <v>0.42857142857142855</v>
      </c>
      <c r="Y64" s="19">
        <v>0</v>
      </c>
      <c r="Z64" s="19">
        <v>0.42857142857142855</v>
      </c>
      <c r="AA64" s="19">
        <v>0.44186046511627908</v>
      </c>
      <c r="AB64" s="19">
        <v>0.27906976744186046</v>
      </c>
    </row>
    <row r="69" spans="1:17" x14ac:dyDescent="0.2">
      <c r="A69" s="2" t="s">
        <v>171</v>
      </c>
      <c r="B69" t="s">
        <v>149</v>
      </c>
      <c r="C69" t="s">
        <v>211</v>
      </c>
      <c r="G69" s="2" t="s">
        <v>50</v>
      </c>
      <c r="H69" t="s">
        <v>149</v>
      </c>
      <c r="I69" t="s">
        <v>211</v>
      </c>
      <c r="O69" s="2" t="s">
        <v>53</v>
      </c>
      <c r="P69" t="s">
        <v>149</v>
      </c>
      <c r="Q69" t="s">
        <v>211</v>
      </c>
    </row>
    <row r="70" spans="1:17" x14ac:dyDescent="0.2">
      <c r="A70" s="3" t="s">
        <v>122</v>
      </c>
      <c r="B70" s="19">
        <f>B29/D3</f>
        <v>0.56666666666666665</v>
      </c>
      <c r="C70" s="19">
        <f>D29/D3</f>
        <v>0</v>
      </c>
      <c r="D70" s="19"/>
      <c r="E70" s="19"/>
      <c r="G70" s="3" t="s">
        <v>122</v>
      </c>
      <c r="H70" s="19">
        <f>G29/D3</f>
        <v>0.39333333333333331</v>
      </c>
      <c r="I70" s="19">
        <f>I29/D3</f>
        <v>0</v>
      </c>
      <c r="J70" s="19"/>
      <c r="K70" s="19"/>
      <c r="O70" s="3" t="s">
        <v>122</v>
      </c>
      <c r="P70" s="19">
        <f>O29/D3</f>
        <v>0.32</v>
      </c>
      <c r="Q70" s="19">
        <f>Q29/D3</f>
        <v>0</v>
      </c>
    </row>
    <row r="71" spans="1:17" x14ac:dyDescent="0.2">
      <c r="A71" s="3" t="s">
        <v>136</v>
      </c>
      <c r="B71" s="19">
        <f>C60/D4</f>
        <v>9.8214285714285712E-2</v>
      </c>
      <c r="C71" s="19">
        <f>D60/D4</f>
        <v>5.7142857142857141E-2</v>
      </c>
      <c r="D71" s="19"/>
      <c r="E71" s="19"/>
      <c r="G71" s="3" t="s">
        <v>136</v>
      </c>
      <c r="H71" s="19">
        <f>G60/D4</f>
        <v>4.1071428571428571E-2</v>
      </c>
      <c r="I71" s="19">
        <f>I60/D4</f>
        <v>3.5714285714285712E-2</v>
      </c>
      <c r="J71" s="19"/>
      <c r="K71" s="19"/>
      <c r="O71" s="3" t="s">
        <v>136</v>
      </c>
      <c r="P71" s="19">
        <f>O60/D4</f>
        <v>0.39464285714285713</v>
      </c>
      <c r="Q71" s="19">
        <f>Q60/D4</f>
        <v>0.36428571428571427</v>
      </c>
    </row>
    <row r="72" spans="1:17" x14ac:dyDescent="0.2">
      <c r="A72" t="s">
        <v>111</v>
      </c>
      <c r="B72" s="19">
        <f>(B29+B60)/D5</f>
        <v>0.31395348837209303</v>
      </c>
      <c r="C72" s="19">
        <f>(D29+D60)/D5</f>
        <v>3.7209302325581395E-2</v>
      </c>
      <c r="D72" s="19"/>
      <c r="E72" s="19"/>
      <c r="F72" s="3"/>
      <c r="G72" t="s">
        <v>111</v>
      </c>
      <c r="H72" s="19">
        <f>(G29+G60)/D5</f>
        <v>0.16395348837209303</v>
      </c>
      <c r="I72" s="19">
        <f>(I29+I60)/D5</f>
        <v>2.3255813953488372E-2</v>
      </c>
      <c r="J72" s="19"/>
      <c r="K72" s="19"/>
      <c r="N72" s="3"/>
      <c r="O72" t="s">
        <v>111</v>
      </c>
      <c r="P72" s="19">
        <f>(O29+O60)/D5</f>
        <v>0.36860465116279068</v>
      </c>
      <c r="Q72" s="19">
        <f>(Q60+Q29)/D5</f>
        <v>0.23720930232558141</v>
      </c>
    </row>
    <row r="73" spans="1:17" x14ac:dyDescent="0.2">
      <c r="B73" s="19"/>
      <c r="C73" s="19"/>
      <c r="D73" s="19"/>
      <c r="E73" s="19"/>
      <c r="F73" s="3"/>
      <c r="H73" s="19"/>
      <c r="I73" s="19"/>
      <c r="J73" s="19"/>
      <c r="K73" s="19"/>
      <c r="N73" s="3"/>
      <c r="P73" s="19"/>
      <c r="Q73" s="19"/>
    </row>
    <row r="74" spans="1:17" x14ac:dyDescent="0.2">
      <c r="B74" s="19"/>
      <c r="C74" s="19"/>
      <c r="D74" s="19"/>
      <c r="E74" s="19"/>
      <c r="F74" s="3"/>
      <c r="H74" s="19"/>
      <c r="I74" s="19"/>
      <c r="J74" s="19"/>
      <c r="K74" s="19"/>
      <c r="N74" s="3"/>
      <c r="P74" s="19"/>
      <c r="Q74" s="19"/>
    </row>
    <row r="75" spans="1:17" x14ac:dyDescent="0.2">
      <c r="B75" s="19"/>
      <c r="C75" s="19"/>
      <c r="D75" s="19"/>
      <c r="E75" s="19"/>
      <c r="F75" s="3"/>
      <c r="H75" s="19"/>
      <c r="I75" s="19"/>
      <c r="J75" s="19"/>
      <c r="K75" s="19"/>
      <c r="N75" s="3"/>
      <c r="P75" s="19"/>
      <c r="Q75" s="19"/>
    </row>
    <row r="76" spans="1:17" x14ac:dyDescent="0.2">
      <c r="B76" s="19"/>
      <c r="C76" s="19"/>
      <c r="D76" s="19"/>
      <c r="E76" s="19"/>
      <c r="F76" s="3"/>
      <c r="H76" s="19"/>
      <c r="I76" s="19"/>
      <c r="J76" s="19"/>
      <c r="K76" s="19"/>
      <c r="N76" s="3"/>
      <c r="P76" s="19"/>
      <c r="Q76" s="19"/>
    </row>
    <row r="77" spans="1:17" x14ac:dyDescent="0.2">
      <c r="B77" s="19"/>
      <c r="C77" s="19"/>
      <c r="D77" s="19"/>
      <c r="E77" s="19"/>
      <c r="F77" s="3"/>
      <c r="H77" s="19"/>
      <c r="I77" s="19"/>
      <c r="J77" s="19"/>
      <c r="K77" s="19"/>
      <c r="N77" s="3"/>
      <c r="P77" s="19"/>
      <c r="Q77" s="19"/>
    </row>
    <row r="78" spans="1:17" x14ac:dyDescent="0.2">
      <c r="B78" s="19"/>
      <c r="C78" s="19"/>
      <c r="D78" s="19"/>
      <c r="E78" s="19"/>
      <c r="F78" s="3"/>
      <c r="H78" s="19"/>
      <c r="I78" s="19"/>
      <c r="J78" s="19"/>
      <c r="K78" s="19"/>
      <c r="N78" s="3"/>
      <c r="P78" s="19"/>
      <c r="Q78" s="19"/>
    </row>
    <row r="79" spans="1:17" x14ac:dyDescent="0.2">
      <c r="B79" s="19"/>
      <c r="C79" s="19"/>
      <c r="D79" s="19"/>
      <c r="E79" s="19"/>
      <c r="F79" s="3"/>
      <c r="H79" s="19"/>
      <c r="I79" s="19"/>
      <c r="J79" s="19"/>
      <c r="K79" s="19"/>
      <c r="N79" s="3"/>
      <c r="P79" s="19"/>
      <c r="Q79" s="19"/>
    </row>
    <row r="80" spans="1:17" x14ac:dyDescent="0.2">
      <c r="B80" s="19"/>
      <c r="C80" s="19"/>
      <c r="D80" s="19"/>
      <c r="E80" s="19"/>
      <c r="F80" s="3"/>
      <c r="H80" s="19"/>
      <c r="I80" s="19"/>
      <c r="J80" s="19"/>
      <c r="K80" s="19"/>
      <c r="N80" s="3"/>
      <c r="P80" s="19"/>
      <c r="Q80" s="19"/>
    </row>
    <row r="81" spans="1:17" x14ac:dyDescent="0.2">
      <c r="B81" s="19"/>
      <c r="C81" s="19"/>
      <c r="D81" s="19"/>
      <c r="E81" s="19"/>
      <c r="F81" s="3"/>
      <c r="H81" s="19"/>
      <c r="I81" s="19"/>
      <c r="J81" s="19"/>
      <c r="K81" s="19"/>
      <c r="N81" s="3"/>
      <c r="P81" s="19"/>
      <c r="Q81" s="19"/>
    </row>
    <row r="82" spans="1:17" x14ac:dyDescent="0.2">
      <c r="B82" s="19"/>
      <c r="C82" s="19"/>
      <c r="D82" s="19"/>
      <c r="E82" s="19"/>
      <c r="F82" s="3"/>
      <c r="H82" s="19"/>
      <c r="I82" s="19"/>
      <c r="J82" s="19"/>
      <c r="K82" s="19"/>
      <c r="N82" s="3"/>
      <c r="P82" s="19"/>
      <c r="Q82" s="19"/>
    </row>
    <row r="83" spans="1:17" x14ac:dyDescent="0.2">
      <c r="B83" s="19"/>
      <c r="C83" s="19"/>
      <c r="D83" s="19"/>
      <c r="E83" s="19"/>
      <c r="F83" s="3"/>
      <c r="H83" s="19"/>
      <c r="I83" s="19"/>
      <c r="J83" s="19"/>
      <c r="K83" s="19"/>
      <c r="N83" s="3"/>
      <c r="P83" s="19"/>
      <c r="Q83" s="19"/>
    </row>
    <row r="84" spans="1:17" x14ac:dyDescent="0.2">
      <c r="B84" s="19"/>
      <c r="C84" s="19"/>
      <c r="D84" s="19"/>
      <c r="E84" s="19"/>
      <c r="F84" s="3"/>
      <c r="H84" s="19"/>
      <c r="I84" s="19"/>
      <c r="J84" s="19"/>
      <c r="K84" s="19"/>
      <c r="N84" s="3"/>
      <c r="P84" s="19"/>
      <c r="Q84" s="19"/>
    </row>
    <row r="85" spans="1:17" x14ac:dyDescent="0.2">
      <c r="B85" s="19"/>
      <c r="C85" s="19"/>
      <c r="D85" s="19"/>
      <c r="E85" s="19"/>
      <c r="F85" s="3"/>
      <c r="H85" s="19"/>
      <c r="I85" s="19"/>
      <c r="J85" s="19"/>
      <c r="K85" s="19"/>
      <c r="N85" s="3"/>
      <c r="P85" s="19"/>
      <c r="Q85" s="19"/>
    </row>
    <row r="86" spans="1:17" x14ac:dyDescent="0.2">
      <c r="B86" s="19"/>
      <c r="C86" s="19"/>
      <c r="D86" s="19"/>
      <c r="E86" s="19"/>
      <c r="F86" s="3"/>
      <c r="H86" s="19"/>
      <c r="I86" s="19"/>
      <c r="J86" s="19"/>
      <c r="K86" s="19"/>
      <c r="N86" s="3"/>
      <c r="P86" s="19"/>
      <c r="Q86" s="19"/>
    </row>
    <row r="87" spans="1:17" x14ac:dyDescent="0.2">
      <c r="B87" s="19"/>
      <c r="C87" s="19"/>
      <c r="D87" s="19"/>
      <c r="E87" s="19"/>
      <c r="H87" s="19"/>
      <c r="I87" s="19"/>
      <c r="J87" s="19"/>
      <c r="K87" s="19"/>
    </row>
    <row r="88" spans="1:17" x14ac:dyDescent="0.2">
      <c r="H88" s="19"/>
    </row>
    <row r="89" spans="1:17" x14ac:dyDescent="0.2">
      <c r="A89" t="s">
        <v>123</v>
      </c>
    </row>
    <row r="90" spans="1:17" x14ac:dyDescent="0.2">
      <c r="A90" t="s">
        <v>124</v>
      </c>
    </row>
    <row r="91" spans="1:17" x14ac:dyDescent="0.2">
      <c r="A91" t="s">
        <v>125</v>
      </c>
    </row>
    <row r="93" spans="1:17" x14ac:dyDescent="0.2">
      <c r="A93" t="s">
        <v>126</v>
      </c>
      <c r="L93" t="s">
        <v>127</v>
      </c>
      <c r="P93" t="s">
        <v>133</v>
      </c>
    </row>
    <row r="95" spans="1:17" x14ac:dyDescent="0.2">
      <c r="A95" t="s">
        <v>134</v>
      </c>
    </row>
    <row r="97" spans="1:18" x14ac:dyDescent="0.2">
      <c r="A97" t="s">
        <v>143</v>
      </c>
      <c r="F97" s="3"/>
      <c r="N97" s="3"/>
    </row>
    <row r="99" spans="1:18" x14ac:dyDescent="0.2">
      <c r="A99" t="s">
        <v>146</v>
      </c>
    </row>
    <row r="105" spans="1:18" x14ac:dyDescent="0.2">
      <c r="B105" s="2"/>
    </row>
    <row r="106" spans="1:18" x14ac:dyDescent="0.2">
      <c r="B106" s="2" t="s">
        <v>149</v>
      </c>
      <c r="C106" s="2" t="s">
        <v>211</v>
      </c>
      <c r="E106" s="2" t="s">
        <v>149</v>
      </c>
      <c r="F106" s="2" t="s">
        <v>211</v>
      </c>
      <c r="I106" s="2" t="s">
        <v>149</v>
      </c>
      <c r="J106" s="2" t="s">
        <v>211</v>
      </c>
      <c r="K106" s="2" t="s">
        <v>149</v>
      </c>
      <c r="L106" s="2" t="s">
        <v>211</v>
      </c>
      <c r="N106" s="2" t="s">
        <v>149</v>
      </c>
      <c r="O106" s="2" t="s">
        <v>211</v>
      </c>
      <c r="P106" s="2" t="s">
        <v>149</v>
      </c>
      <c r="Q106" s="2" t="s">
        <v>211</v>
      </c>
    </row>
    <row r="107" spans="1:18" x14ac:dyDescent="0.2">
      <c r="B107">
        <v>0</v>
      </c>
      <c r="C107">
        <v>0</v>
      </c>
      <c r="E107" s="19">
        <f>B107/20</f>
        <v>0</v>
      </c>
      <c r="F107" s="19">
        <f>C107/20</f>
        <v>0</v>
      </c>
      <c r="I107">
        <v>0</v>
      </c>
      <c r="J107">
        <v>0</v>
      </c>
      <c r="K107" s="19">
        <f>I107/20</f>
        <v>0</v>
      </c>
      <c r="L107" s="19">
        <f>J107/20</f>
        <v>0</v>
      </c>
      <c r="N107">
        <v>0</v>
      </c>
      <c r="O107">
        <v>0</v>
      </c>
      <c r="P107" s="19">
        <f>N107/20</f>
        <v>0</v>
      </c>
      <c r="Q107" s="19">
        <f>O107/20</f>
        <v>0</v>
      </c>
    </row>
    <row r="108" spans="1:18" x14ac:dyDescent="0.2">
      <c r="B108">
        <v>0</v>
      </c>
      <c r="C108">
        <v>0</v>
      </c>
      <c r="E108" s="19">
        <f t="shared" ref="E108:E150" si="6">B108/20</f>
        <v>0</v>
      </c>
      <c r="F108" s="19">
        <f t="shared" ref="F108:F150" si="7">C108/20</f>
        <v>0</v>
      </c>
      <c r="I108">
        <v>0</v>
      </c>
      <c r="J108">
        <v>0</v>
      </c>
      <c r="K108" s="19">
        <f t="shared" ref="K108:K150" si="8">I108/20</f>
        <v>0</v>
      </c>
      <c r="L108" s="19">
        <f t="shared" ref="L108:L150" si="9">J108/20</f>
        <v>0</v>
      </c>
      <c r="N108">
        <v>0</v>
      </c>
      <c r="O108">
        <v>0</v>
      </c>
      <c r="P108" s="19">
        <f t="shared" ref="P108:P150" si="10">N108/20</f>
        <v>0</v>
      </c>
      <c r="Q108" s="19">
        <f t="shared" ref="Q108:Q150" si="11">O108/20</f>
        <v>0</v>
      </c>
    </row>
    <row r="109" spans="1:18" x14ac:dyDescent="0.2">
      <c r="B109">
        <v>20</v>
      </c>
      <c r="C109">
        <v>0</v>
      </c>
      <c r="E109" s="19">
        <f t="shared" si="6"/>
        <v>1</v>
      </c>
      <c r="F109" s="19">
        <f t="shared" si="7"/>
        <v>0</v>
      </c>
      <c r="I109">
        <v>20</v>
      </c>
      <c r="J109">
        <v>0</v>
      </c>
      <c r="K109" s="19">
        <f t="shared" si="8"/>
        <v>1</v>
      </c>
      <c r="L109" s="19">
        <f t="shared" si="9"/>
        <v>0</v>
      </c>
      <c r="N109">
        <v>19</v>
      </c>
      <c r="O109">
        <v>0</v>
      </c>
      <c r="P109" s="19">
        <f t="shared" si="10"/>
        <v>0.95</v>
      </c>
      <c r="Q109" s="19">
        <f t="shared" si="11"/>
        <v>0</v>
      </c>
    </row>
    <row r="110" spans="1:18" x14ac:dyDescent="0.2">
      <c r="B110">
        <v>0</v>
      </c>
      <c r="C110">
        <v>0</v>
      </c>
      <c r="E110" s="19">
        <f t="shared" si="6"/>
        <v>0</v>
      </c>
      <c r="F110" s="19">
        <f t="shared" si="7"/>
        <v>0</v>
      </c>
      <c r="I110">
        <v>0</v>
      </c>
      <c r="J110">
        <v>0</v>
      </c>
      <c r="K110" s="19">
        <f t="shared" si="8"/>
        <v>0</v>
      </c>
      <c r="L110" s="19">
        <f t="shared" si="9"/>
        <v>0</v>
      </c>
      <c r="N110">
        <v>0</v>
      </c>
      <c r="O110">
        <v>0</v>
      </c>
      <c r="P110" s="19">
        <f t="shared" si="10"/>
        <v>0</v>
      </c>
      <c r="Q110" s="19">
        <f t="shared" si="11"/>
        <v>0</v>
      </c>
    </row>
    <row r="111" spans="1:18" x14ac:dyDescent="0.2">
      <c r="A111" s="3"/>
      <c r="B111">
        <v>20</v>
      </c>
      <c r="C111">
        <v>0</v>
      </c>
      <c r="D111" s="3"/>
      <c r="E111" s="19">
        <f t="shared" si="6"/>
        <v>1</v>
      </c>
      <c r="F111" s="19">
        <f t="shared" si="7"/>
        <v>0</v>
      </c>
      <c r="G111" s="3"/>
      <c r="H111" s="3"/>
      <c r="I111">
        <v>20</v>
      </c>
      <c r="J111">
        <v>0</v>
      </c>
      <c r="K111" s="19">
        <f t="shared" si="8"/>
        <v>1</v>
      </c>
      <c r="L111" s="19">
        <f t="shared" si="9"/>
        <v>0</v>
      </c>
      <c r="M111" s="3"/>
      <c r="N111">
        <v>20</v>
      </c>
      <c r="O111">
        <v>0</v>
      </c>
      <c r="P111" s="19">
        <f t="shared" si="10"/>
        <v>1</v>
      </c>
      <c r="Q111" s="19">
        <f t="shared" si="11"/>
        <v>0</v>
      </c>
      <c r="R111" s="3"/>
    </row>
    <row r="112" spans="1:18" x14ac:dyDescent="0.2">
      <c r="B112">
        <v>20</v>
      </c>
      <c r="C112">
        <v>0</v>
      </c>
      <c r="E112" s="19">
        <f t="shared" si="6"/>
        <v>1</v>
      </c>
      <c r="F112" s="19">
        <f t="shared" si="7"/>
        <v>0</v>
      </c>
      <c r="I112">
        <v>20</v>
      </c>
      <c r="J112">
        <v>0</v>
      </c>
      <c r="K112" s="19">
        <f t="shared" si="8"/>
        <v>1</v>
      </c>
      <c r="L112" s="19">
        <f t="shared" si="9"/>
        <v>0</v>
      </c>
      <c r="N112" s="18">
        <v>0</v>
      </c>
      <c r="O112">
        <v>0</v>
      </c>
      <c r="P112" s="19">
        <f t="shared" si="10"/>
        <v>0</v>
      </c>
      <c r="Q112" s="19">
        <f t="shared" si="11"/>
        <v>0</v>
      </c>
    </row>
    <row r="113" spans="1:18" x14ac:dyDescent="0.2">
      <c r="B113">
        <v>0</v>
      </c>
      <c r="C113">
        <v>0</v>
      </c>
      <c r="E113" s="19">
        <f t="shared" si="6"/>
        <v>0</v>
      </c>
      <c r="F113" s="19">
        <f t="shared" si="7"/>
        <v>0</v>
      </c>
      <c r="I113">
        <v>0</v>
      </c>
      <c r="J113">
        <v>0</v>
      </c>
      <c r="K113" s="19">
        <f t="shared" si="8"/>
        <v>0</v>
      </c>
      <c r="L113" s="19">
        <f t="shared" si="9"/>
        <v>0</v>
      </c>
      <c r="N113">
        <v>0</v>
      </c>
      <c r="O113">
        <v>0</v>
      </c>
      <c r="P113" s="19">
        <f t="shared" si="10"/>
        <v>0</v>
      </c>
      <c r="Q113" s="19">
        <f t="shared" si="11"/>
        <v>0</v>
      </c>
    </row>
    <row r="114" spans="1:18" x14ac:dyDescent="0.2">
      <c r="B114">
        <v>20</v>
      </c>
      <c r="C114">
        <v>0</v>
      </c>
      <c r="E114" s="19">
        <f t="shared" si="6"/>
        <v>1</v>
      </c>
      <c r="F114" s="19">
        <f t="shared" si="7"/>
        <v>0</v>
      </c>
      <c r="I114">
        <v>18</v>
      </c>
      <c r="J114">
        <v>0</v>
      </c>
      <c r="K114" s="19">
        <f t="shared" si="8"/>
        <v>0.9</v>
      </c>
      <c r="L114" s="19">
        <f t="shared" si="9"/>
        <v>0</v>
      </c>
      <c r="N114">
        <v>0</v>
      </c>
      <c r="O114">
        <v>0</v>
      </c>
      <c r="P114" s="19">
        <f t="shared" si="10"/>
        <v>0</v>
      </c>
      <c r="Q114" s="19">
        <f t="shared" si="11"/>
        <v>0</v>
      </c>
    </row>
    <row r="115" spans="1:18" x14ac:dyDescent="0.2">
      <c r="B115">
        <v>20</v>
      </c>
      <c r="C115">
        <v>0</v>
      </c>
      <c r="E115" s="19">
        <f t="shared" si="6"/>
        <v>1</v>
      </c>
      <c r="F115" s="19">
        <f t="shared" si="7"/>
        <v>0</v>
      </c>
      <c r="I115">
        <v>20</v>
      </c>
      <c r="J115">
        <v>0</v>
      </c>
      <c r="K115" s="19">
        <f t="shared" si="8"/>
        <v>1</v>
      </c>
      <c r="L115" s="19">
        <f t="shared" si="9"/>
        <v>0</v>
      </c>
      <c r="N115">
        <v>0</v>
      </c>
      <c r="O115">
        <v>0</v>
      </c>
      <c r="P115" s="19">
        <f t="shared" si="10"/>
        <v>0</v>
      </c>
      <c r="Q115" s="19">
        <f t="shared" si="11"/>
        <v>0</v>
      </c>
    </row>
    <row r="116" spans="1:18" x14ac:dyDescent="0.2">
      <c r="B116">
        <v>20</v>
      </c>
      <c r="C116">
        <v>0</v>
      </c>
      <c r="E116" s="19">
        <f t="shared" si="6"/>
        <v>1</v>
      </c>
      <c r="F116" s="19">
        <f t="shared" si="7"/>
        <v>0</v>
      </c>
      <c r="I116">
        <v>0</v>
      </c>
      <c r="J116">
        <v>0</v>
      </c>
      <c r="K116" s="19">
        <f t="shared" si="8"/>
        <v>0</v>
      </c>
      <c r="L116" s="19">
        <f t="shared" si="9"/>
        <v>0</v>
      </c>
      <c r="N116">
        <v>1</v>
      </c>
      <c r="O116">
        <v>0</v>
      </c>
      <c r="P116" s="19">
        <f t="shared" si="10"/>
        <v>0.05</v>
      </c>
      <c r="Q116" s="19">
        <f t="shared" si="11"/>
        <v>0</v>
      </c>
    </row>
    <row r="117" spans="1:18" x14ac:dyDescent="0.2">
      <c r="A117" s="3"/>
      <c r="B117">
        <v>17</v>
      </c>
      <c r="C117">
        <v>0</v>
      </c>
      <c r="D117" s="3"/>
      <c r="E117" s="19">
        <f t="shared" si="6"/>
        <v>0.85</v>
      </c>
      <c r="F117" s="19">
        <f t="shared" si="7"/>
        <v>0</v>
      </c>
      <c r="G117" s="3"/>
      <c r="H117" s="3"/>
      <c r="I117">
        <v>0</v>
      </c>
      <c r="J117">
        <v>0</v>
      </c>
      <c r="K117" s="19">
        <f t="shared" si="8"/>
        <v>0</v>
      </c>
      <c r="L117" s="19">
        <f t="shared" si="9"/>
        <v>0</v>
      </c>
      <c r="M117" s="3"/>
      <c r="N117">
        <v>20</v>
      </c>
      <c r="O117">
        <v>0</v>
      </c>
      <c r="P117" s="19">
        <f t="shared" si="10"/>
        <v>1</v>
      </c>
      <c r="Q117" s="19">
        <f t="shared" si="11"/>
        <v>0</v>
      </c>
      <c r="R117" s="3"/>
    </row>
    <row r="118" spans="1:18" x14ac:dyDescent="0.2">
      <c r="A118" s="3"/>
      <c r="B118">
        <v>11</v>
      </c>
      <c r="C118">
        <v>0</v>
      </c>
      <c r="D118" s="3"/>
      <c r="E118" s="19">
        <f t="shared" si="6"/>
        <v>0.55000000000000004</v>
      </c>
      <c r="F118" s="19">
        <f t="shared" si="7"/>
        <v>0</v>
      </c>
      <c r="G118" s="3"/>
      <c r="H118" s="3"/>
      <c r="I118">
        <v>20</v>
      </c>
      <c r="J118">
        <v>0</v>
      </c>
      <c r="K118" s="19">
        <f t="shared" si="8"/>
        <v>1</v>
      </c>
      <c r="L118" s="19">
        <f t="shared" si="9"/>
        <v>0</v>
      </c>
      <c r="M118" s="3"/>
      <c r="N118">
        <v>17</v>
      </c>
      <c r="O118">
        <v>0</v>
      </c>
      <c r="P118" s="19">
        <f t="shared" si="10"/>
        <v>0.85</v>
      </c>
      <c r="Q118" s="19">
        <f t="shared" si="11"/>
        <v>0</v>
      </c>
      <c r="R118" s="3"/>
    </row>
    <row r="119" spans="1:18" x14ac:dyDescent="0.2">
      <c r="A119" s="3"/>
      <c r="B119">
        <v>3</v>
      </c>
      <c r="C119">
        <v>0</v>
      </c>
      <c r="D119" s="3"/>
      <c r="E119" s="19">
        <f t="shared" si="6"/>
        <v>0.15</v>
      </c>
      <c r="F119" s="19">
        <f t="shared" si="7"/>
        <v>0</v>
      </c>
      <c r="G119" s="3"/>
      <c r="H119" s="3"/>
      <c r="I119">
        <v>0</v>
      </c>
      <c r="J119">
        <v>0</v>
      </c>
      <c r="K119" s="19">
        <f t="shared" si="8"/>
        <v>0</v>
      </c>
      <c r="L119" s="19">
        <f t="shared" si="9"/>
        <v>0</v>
      </c>
      <c r="M119" s="3"/>
      <c r="N119">
        <v>1</v>
      </c>
      <c r="O119">
        <v>0</v>
      </c>
      <c r="P119" s="19">
        <f t="shared" si="10"/>
        <v>0.05</v>
      </c>
      <c r="Q119" s="19">
        <f t="shared" si="11"/>
        <v>0</v>
      </c>
      <c r="R119" s="3"/>
    </row>
    <row r="120" spans="1:18" x14ac:dyDescent="0.2">
      <c r="B120">
        <v>0</v>
      </c>
      <c r="C120">
        <v>0</v>
      </c>
      <c r="D120" s="17"/>
      <c r="E120" s="19">
        <f t="shared" si="6"/>
        <v>0</v>
      </c>
      <c r="F120" s="19">
        <f t="shared" si="7"/>
        <v>0</v>
      </c>
      <c r="G120" s="17"/>
      <c r="I120">
        <v>0</v>
      </c>
      <c r="J120">
        <v>0</v>
      </c>
      <c r="K120" s="19">
        <f t="shared" si="8"/>
        <v>0</v>
      </c>
      <c r="L120" s="19">
        <f t="shared" si="9"/>
        <v>0</v>
      </c>
      <c r="M120" s="3"/>
      <c r="N120">
        <v>0</v>
      </c>
      <c r="O120">
        <v>0</v>
      </c>
      <c r="P120" s="19">
        <f t="shared" si="10"/>
        <v>0</v>
      </c>
      <c r="Q120" s="19">
        <f t="shared" si="11"/>
        <v>0</v>
      </c>
      <c r="R120" s="17"/>
    </row>
    <row r="121" spans="1:18" x14ac:dyDescent="0.2">
      <c r="A121" s="3"/>
      <c r="B121">
        <v>19</v>
      </c>
      <c r="C121">
        <v>0</v>
      </c>
      <c r="D121" s="3"/>
      <c r="E121" s="19">
        <f t="shared" si="6"/>
        <v>0.95</v>
      </c>
      <c r="F121" s="19">
        <f t="shared" si="7"/>
        <v>0</v>
      </c>
      <c r="G121" s="3"/>
      <c r="H121" s="3"/>
      <c r="I121">
        <v>0</v>
      </c>
      <c r="J121">
        <v>0</v>
      </c>
      <c r="K121" s="19">
        <f t="shared" si="8"/>
        <v>0</v>
      </c>
      <c r="L121" s="19">
        <f t="shared" si="9"/>
        <v>0</v>
      </c>
      <c r="M121" s="3"/>
      <c r="N121">
        <v>18</v>
      </c>
      <c r="O121">
        <v>0</v>
      </c>
      <c r="P121" s="19">
        <f t="shared" si="10"/>
        <v>0.9</v>
      </c>
      <c r="Q121" s="19">
        <f t="shared" si="11"/>
        <v>0</v>
      </c>
      <c r="R121" s="3"/>
    </row>
    <row r="122" spans="1:18" x14ac:dyDescent="0.2">
      <c r="A122" s="3" t="s">
        <v>213</v>
      </c>
      <c r="B122" s="17">
        <v>0</v>
      </c>
      <c r="C122" s="17">
        <v>0</v>
      </c>
      <c r="D122" s="3"/>
      <c r="E122" s="19">
        <f t="shared" si="6"/>
        <v>0</v>
      </c>
      <c r="F122" s="19">
        <f t="shared" si="7"/>
        <v>0</v>
      </c>
      <c r="I122" s="17">
        <v>0</v>
      </c>
      <c r="J122">
        <f t="shared" ref="J122" si="12">SUM(J107:J121)</f>
        <v>0</v>
      </c>
      <c r="K122" s="19">
        <f t="shared" si="8"/>
        <v>0</v>
      </c>
      <c r="L122" s="19">
        <f t="shared" si="9"/>
        <v>0</v>
      </c>
      <c r="M122" s="3"/>
      <c r="N122">
        <v>20</v>
      </c>
      <c r="O122">
        <v>20</v>
      </c>
      <c r="P122" s="19">
        <f t="shared" si="10"/>
        <v>1</v>
      </c>
      <c r="Q122" s="19">
        <f t="shared" si="11"/>
        <v>1</v>
      </c>
      <c r="R122" s="17"/>
    </row>
    <row r="123" spans="1:18" x14ac:dyDescent="0.2">
      <c r="B123" s="17">
        <v>0</v>
      </c>
      <c r="C123" s="17">
        <v>0</v>
      </c>
      <c r="D123" s="17"/>
      <c r="E123" s="19">
        <f t="shared" si="6"/>
        <v>0</v>
      </c>
      <c r="F123" s="19">
        <f t="shared" si="7"/>
        <v>0</v>
      </c>
      <c r="G123" s="3"/>
      <c r="H123" s="3"/>
      <c r="I123" s="17">
        <v>0</v>
      </c>
      <c r="J123" s="17">
        <v>0</v>
      </c>
      <c r="K123" s="19">
        <f t="shared" si="8"/>
        <v>0</v>
      </c>
      <c r="L123" s="19">
        <f t="shared" si="9"/>
        <v>0</v>
      </c>
      <c r="M123" s="3"/>
      <c r="N123">
        <v>0</v>
      </c>
      <c r="O123">
        <v>0</v>
      </c>
      <c r="P123" s="19">
        <f t="shared" si="10"/>
        <v>0</v>
      </c>
      <c r="Q123" s="19">
        <f t="shared" si="11"/>
        <v>0</v>
      </c>
      <c r="R123" s="3"/>
    </row>
    <row r="124" spans="1:18" x14ac:dyDescent="0.2">
      <c r="B124" s="17">
        <v>4</v>
      </c>
      <c r="C124" s="17">
        <v>1</v>
      </c>
      <c r="E124" s="19">
        <f t="shared" si="6"/>
        <v>0.2</v>
      </c>
      <c r="F124" s="19">
        <f t="shared" si="7"/>
        <v>0.05</v>
      </c>
      <c r="I124" s="17">
        <v>0</v>
      </c>
      <c r="J124" s="17">
        <v>0</v>
      </c>
      <c r="K124" s="19">
        <f t="shared" si="8"/>
        <v>0</v>
      </c>
      <c r="L124" s="19">
        <f t="shared" si="9"/>
        <v>0</v>
      </c>
      <c r="M124" s="3"/>
      <c r="N124">
        <v>20</v>
      </c>
      <c r="O124">
        <v>20</v>
      </c>
      <c r="P124" s="19">
        <f t="shared" si="10"/>
        <v>1</v>
      </c>
      <c r="Q124" s="19">
        <f t="shared" si="11"/>
        <v>1</v>
      </c>
      <c r="R124" s="3"/>
    </row>
    <row r="125" spans="1:18" x14ac:dyDescent="0.2">
      <c r="B125" s="17">
        <v>0</v>
      </c>
      <c r="C125" s="17">
        <v>0</v>
      </c>
      <c r="E125" s="19">
        <f t="shared" si="6"/>
        <v>0</v>
      </c>
      <c r="F125" s="19">
        <f t="shared" si="7"/>
        <v>0</v>
      </c>
      <c r="I125" s="17">
        <v>0</v>
      </c>
      <c r="J125" s="17">
        <v>0</v>
      </c>
      <c r="K125" s="19">
        <f t="shared" si="8"/>
        <v>0</v>
      </c>
      <c r="L125" s="19">
        <f t="shared" si="9"/>
        <v>0</v>
      </c>
      <c r="N125">
        <v>20</v>
      </c>
      <c r="O125">
        <v>20</v>
      </c>
      <c r="P125" s="19">
        <f t="shared" si="10"/>
        <v>1</v>
      </c>
      <c r="Q125" s="19">
        <f t="shared" si="11"/>
        <v>1</v>
      </c>
    </row>
    <row r="126" spans="1:18" x14ac:dyDescent="0.2">
      <c r="B126" s="17">
        <v>17</v>
      </c>
      <c r="C126" s="17">
        <v>17</v>
      </c>
      <c r="E126" s="19">
        <f t="shared" si="6"/>
        <v>0.85</v>
      </c>
      <c r="F126" s="19">
        <f t="shared" si="7"/>
        <v>0.85</v>
      </c>
      <c r="I126" s="17">
        <v>20</v>
      </c>
      <c r="J126" s="17">
        <v>0</v>
      </c>
      <c r="K126" s="19">
        <f t="shared" si="8"/>
        <v>1</v>
      </c>
      <c r="L126" s="19">
        <f t="shared" si="9"/>
        <v>0</v>
      </c>
      <c r="N126">
        <v>20</v>
      </c>
      <c r="O126">
        <v>20</v>
      </c>
      <c r="P126" s="19">
        <f t="shared" si="10"/>
        <v>1</v>
      </c>
      <c r="Q126" s="19">
        <f t="shared" si="11"/>
        <v>1</v>
      </c>
    </row>
    <row r="127" spans="1:18" x14ac:dyDescent="0.2">
      <c r="B127" s="17">
        <v>0</v>
      </c>
      <c r="C127" s="17">
        <v>0</v>
      </c>
      <c r="E127" s="19">
        <f t="shared" si="6"/>
        <v>0</v>
      </c>
      <c r="F127" s="19">
        <f t="shared" si="7"/>
        <v>0</v>
      </c>
      <c r="I127" s="17">
        <v>0</v>
      </c>
      <c r="J127" s="17">
        <v>20</v>
      </c>
      <c r="K127" s="19">
        <f t="shared" si="8"/>
        <v>0</v>
      </c>
      <c r="L127" s="19">
        <f t="shared" si="9"/>
        <v>1</v>
      </c>
      <c r="N127">
        <v>0</v>
      </c>
      <c r="O127">
        <v>0</v>
      </c>
      <c r="P127" s="19">
        <f t="shared" si="10"/>
        <v>0</v>
      </c>
      <c r="Q127" s="19">
        <f t="shared" si="11"/>
        <v>0</v>
      </c>
    </row>
    <row r="128" spans="1:18" x14ac:dyDescent="0.2">
      <c r="B128" s="17">
        <v>0</v>
      </c>
      <c r="C128" s="17">
        <v>0</v>
      </c>
      <c r="E128" s="19">
        <f t="shared" si="6"/>
        <v>0</v>
      </c>
      <c r="F128" s="19">
        <f t="shared" si="7"/>
        <v>0</v>
      </c>
      <c r="I128" s="17">
        <v>0</v>
      </c>
      <c r="J128" s="17">
        <v>0</v>
      </c>
      <c r="K128" s="19">
        <f t="shared" si="8"/>
        <v>0</v>
      </c>
      <c r="L128" s="19">
        <f t="shared" si="9"/>
        <v>0</v>
      </c>
      <c r="N128">
        <v>0</v>
      </c>
      <c r="O128">
        <v>0</v>
      </c>
      <c r="P128" s="19">
        <f t="shared" si="10"/>
        <v>0</v>
      </c>
      <c r="Q128" s="19">
        <f t="shared" si="11"/>
        <v>0</v>
      </c>
    </row>
    <row r="129" spans="2:17" x14ac:dyDescent="0.2">
      <c r="B129" s="17">
        <v>0</v>
      </c>
      <c r="C129" s="17">
        <v>0</v>
      </c>
      <c r="E129" s="19">
        <f t="shared" si="6"/>
        <v>0</v>
      </c>
      <c r="F129" s="19">
        <f t="shared" si="7"/>
        <v>0</v>
      </c>
      <c r="I129" s="17">
        <v>0</v>
      </c>
      <c r="J129" s="17">
        <v>0</v>
      </c>
      <c r="K129" s="19">
        <f t="shared" si="8"/>
        <v>0</v>
      </c>
      <c r="L129" s="19">
        <f t="shared" si="9"/>
        <v>0</v>
      </c>
      <c r="N129">
        <v>0</v>
      </c>
      <c r="O129">
        <v>0</v>
      </c>
      <c r="P129" s="19">
        <f t="shared" si="10"/>
        <v>0</v>
      </c>
      <c r="Q129" s="19">
        <f t="shared" si="11"/>
        <v>0</v>
      </c>
    </row>
    <row r="130" spans="2:17" x14ac:dyDescent="0.2">
      <c r="B130" s="17">
        <v>0</v>
      </c>
      <c r="C130" s="17">
        <v>0</v>
      </c>
      <c r="E130" s="19">
        <f t="shared" si="6"/>
        <v>0</v>
      </c>
      <c r="F130" s="19">
        <f t="shared" si="7"/>
        <v>0</v>
      </c>
      <c r="I130" s="17">
        <v>0</v>
      </c>
      <c r="J130" s="17">
        <v>0</v>
      </c>
      <c r="K130" s="19">
        <f t="shared" si="8"/>
        <v>0</v>
      </c>
      <c r="L130" s="19">
        <f t="shared" si="9"/>
        <v>0</v>
      </c>
      <c r="N130" s="17">
        <v>0</v>
      </c>
      <c r="O130" s="17">
        <v>0</v>
      </c>
      <c r="P130" s="19">
        <f t="shared" si="10"/>
        <v>0</v>
      </c>
      <c r="Q130" s="19">
        <f t="shared" si="11"/>
        <v>0</v>
      </c>
    </row>
    <row r="131" spans="2:17" x14ac:dyDescent="0.2">
      <c r="B131" s="17">
        <v>0</v>
      </c>
      <c r="C131" s="17">
        <v>0</v>
      </c>
      <c r="E131" s="19">
        <f t="shared" si="6"/>
        <v>0</v>
      </c>
      <c r="F131" s="19">
        <f t="shared" si="7"/>
        <v>0</v>
      </c>
      <c r="I131" s="17">
        <v>0</v>
      </c>
      <c r="J131" s="17">
        <v>0</v>
      </c>
      <c r="K131" s="19">
        <f t="shared" si="8"/>
        <v>0</v>
      </c>
      <c r="L131" s="19">
        <f t="shared" si="9"/>
        <v>0</v>
      </c>
      <c r="N131">
        <v>0</v>
      </c>
      <c r="O131">
        <v>0</v>
      </c>
      <c r="P131" s="19">
        <f t="shared" si="10"/>
        <v>0</v>
      </c>
      <c r="Q131" s="19">
        <f t="shared" si="11"/>
        <v>0</v>
      </c>
    </row>
    <row r="132" spans="2:17" x14ac:dyDescent="0.2">
      <c r="B132" s="17">
        <v>0</v>
      </c>
      <c r="C132" s="17">
        <v>0</v>
      </c>
      <c r="E132" s="19">
        <f t="shared" si="6"/>
        <v>0</v>
      </c>
      <c r="F132" s="19">
        <f t="shared" si="7"/>
        <v>0</v>
      </c>
      <c r="I132" s="17">
        <v>0</v>
      </c>
      <c r="J132" s="17">
        <v>0</v>
      </c>
      <c r="K132" s="19">
        <f t="shared" si="8"/>
        <v>0</v>
      </c>
      <c r="L132" s="19">
        <f t="shared" si="9"/>
        <v>0</v>
      </c>
      <c r="N132">
        <v>0</v>
      </c>
      <c r="O132">
        <v>0</v>
      </c>
      <c r="P132" s="19">
        <f t="shared" si="10"/>
        <v>0</v>
      </c>
      <c r="Q132" s="19">
        <f t="shared" si="11"/>
        <v>0</v>
      </c>
    </row>
    <row r="133" spans="2:17" x14ac:dyDescent="0.2">
      <c r="B133" s="17">
        <v>0</v>
      </c>
      <c r="C133" s="17">
        <v>0</v>
      </c>
      <c r="E133" s="19">
        <f t="shared" si="6"/>
        <v>0</v>
      </c>
      <c r="F133" s="19">
        <f t="shared" si="7"/>
        <v>0</v>
      </c>
      <c r="I133" s="17">
        <v>0</v>
      </c>
      <c r="J133" s="17">
        <v>0</v>
      </c>
      <c r="K133" s="19">
        <f t="shared" si="8"/>
        <v>0</v>
      </c>
      <c r="L133" s="19">
        <f t="shared" si="9"/>
        <v>0</v>
      </c>
      <c r="N133">
        <v>0</v>
      </c>
      <c r="O133">
        <v>0</v>
      </c>
      <c r="P133" s="19">
        <f t="shared" si="10"/>
        <v>0</v>
      </c>
      <c r="Q133" s="19">
        <f t="shared" si="11"/>
        <v>0</v>
      </c>
    </row>
    <row r="134" spans="2:17" x14ac:dyDescent="0.2">
      <c r="B134" s="17">
        <v>0</v>
      </c>
      <c r="C134" s="17">
        <v>0</v>
      </c>
      <c r="E134" s="19">
        <f t="shared" si="6"/>
        <v>0</v>
      </c>
      <c r="F134" s="19">
        <f t="shared" si="7"/>
        <v>0</v>
      </c>
      <c r="I134" s="17">
        <v>1</v>
      </c>
      <c r="J134" s="17">
        <v>0</v>
      </c>
      <c r="K134" s="19">
        <f t="shared" si="8"/>
        <v>0.05</v>
      </c>
      <c r="L134" s="19">
        <f t="shared" si="9"/>
        <v>0</v>
      </c>
      <c r="N134">
        <v>0</v>
      </c>
      <c r="O134">
        <v>0</v>
      </c>
      <c r="P134" s="19">
        <f t="shared" si="10"/>
        <v>0</v>
      </c>
      <c r="Q134" s="19">
        <f t="shared" si="11"/>
        <v>0</v>
      </c>
    </row>
    <row r="135" spans="2:17" x14ac:dyDescent="0.2">
      <c r="B135" s="17">
        <v>0</v>
      </c>
      <c r="C135" s="17">
        <v>0</v>
      </c>
      <c r="E135" s="19">
        <f t="shared" si="6"/>
        <v>0</v>
      </c>
      <c r="F135" s="19">
        <f t="shared" si="7"/>
        <v>0</v>
      </c>
      <c r="I135" s="17">
        <v>0</v>
      </c>
      <c r="J135" s="17">
        <v>0</v>
      </c>
      <c r="K135" s="19">
        <f t="shared" si="8"/>
        <v>0</v>
      </c>
      <c r="L135" s="19">
        <f t="shared" si="9"/>
        <v>0</v>
      </c>
      <c r="N135">
        <v>20</v>
      </c>
      <c r="O135">
        <v>20</v>
      </c>
      <c r="P135" s="19">
        <f t="shared" si="10"/>
        <v>1</v>
      </c>
      <c r="Q135" s="19">
        <f t="shared" si="11"/>
        <v>1</v>
      </c>
    </row>
    <row r="136" spans="2:17" x14ac:dyDescent="0.2">
      <c r="B136" s="17">
        <v>0</v>
      </c>
      <c r="C136" s="17">
        <v>0</v>
      </c>
      <c r="E136" s="19">
        <f t="shared" si="6"/>
        <v>0</v>
      </c>
      <c r="F136" s="19">
        <f t="shared" si="7"/>
        <v>0</v>
      </c>
      <c r="I136" s="17">
        <v>0</v>
      </c>
      <c r="J136" s="17">
        <v>0</v>
      </c>
      <c r="K136" s="19">
        <f t="shared" si="8"/>
        <v>0</v>
      </c>
      <c r="L136" s="19">
        <f t="shared" si="9"/>
        <v>0</v>
      </c>
      <c r="N136" s="17">
        <v>0</v>
      </c>
      <c r="O136" s="17">
        <v>0</v>
      </c>
      <c r="P136" s="19">
        <f t="shared" si="10"/>
        <v>0</v>
      </c>
      <c r="Q136" s="19">
        <f t="shared" si="11"/>
        <v>0</v>
      </c>
    </row>
    <row r="137" spans="2:17" x14ac:dyDescent="0.2">
      <c r="B137" s="17">
        <v>0</v>
      </c>
      <c r="C137" s="17">
        <v>0</v>
      </c>
      <c r="E137" s="19">
        <f t="shared" si="6"/>
        <v>0</v>
      </c>
      <c r="F137" s="19">
        <f t="shared" si="7"/>
        <v>0</v>
      </c>
      <c r="I137" s="17">
        <v>0</v>
      </c>
      <c r="J137" s="17">
        <v>0</v>
      </c>
      <c r="K137" s="19">
        <f t="shared" si="8"/>
        <v>0</v>
      </c>
      <c r="L137" s="19">
        <f t="shared" si="9"/>
        <v>0</v>
      </c>
      <c r="N137" s="17">
        <v>20</v>
      </c>
      <c r="O137" s="17">
        <v>20</v>
      </c>
      <c r="P137" s="19">
        <f t="shared" si="10"/>
        <v>1</v>
      </c>
      <c r="Q137" s="19">
        <f t="shared" si="11"/>
        <v>1</v>
      </c>
    </row>
    <row r="138" spans="2:17" x14ac:dyDescent="0.2">
      <c r="B138" s="17">
        <v>0</v>
      </c>
      <c r="C138" s="17">
        <v>0</v>
      </c>
      <c r="E138" s="19">
        <f t="shared" si="6"/>
        <v>0</v>
      </c>
      <c r="F138" s="19">
        <f t="shared" si="7"/>
        <v>0</v>
      </c>
      <c r="I138" s="17">
        <v>0</v>
      </c>
      <c r="J138" s="17">
        <v>0</v>
      </c>
      <c r="K138" s="19">
        <f t="shared" si="8"/>
        <v>0</v>
      </c>
      <c r="L138" s="19">
        <f t="shared" si="9"/>
        <v>0</v>
      </c>
      <c r="N138" s="17">
        <v>0</v>
      </c>
      <c r="O138" s="17">
        <v>0</v>
      </c>
      <c r="P138" s="19">
        <f t="shared" si="10"/>
        <v>0</v>
      </c>
      <c r="Q138" s="19">
        <f t="shared" si="11"/>
        <v>0</v>
      </c>
    </row>
    <row r="139" spans="2:17" x14ac:dyDescent="0.2">
      <c r="B139" s="17">
        <v>0</v>
      </c>
      <c r="C139" s="17">
        <v>0</v>
      </c>
      <c r="E139" s="19">
        <f t="shared" si="6"/>
        <v>0</v>
      </c>
      <c r="F139" s="19">
        <f t="shared" si="7"/>
        <v>0</v>
      </c>
      <c r="I139" s="17">
        <v>0</v>
      </c>
      <c r="J139" s="17">
        <v>0</v>
      </c>
      <c r="K139" s="19">
        <f t="shared" si="8"/>
        <v>0</v>
      </c>
      <c r="L139" s="19">
        <f t="shared" si="9"/>
        <v>0</v>
      </c>
      <c r="N139" s="17">
        <v>0</v>
      </c>
      <c r="O139" s="17">
        <v>0</v>
      </c>
      <c r="P139" s="19">
        <f t="shared" si="10"/>
        <v>0</v>
      </c>
      <c r="Q139" s="19">
        <f t="shared" si="11"/>
        <v>0</v>
      </c>
    </row>
    <row r="140" spans="2:17" x14ac:dyDescent="0.2">
      <c r="B140" s="17">
        <v>0</v>
      </c>
      <c r="C140" s="17">
        <v>0</v>
      </c>
      <c r="E140" s="19">
        <f t="shared" si="6"/>
        <v>0</v>
      </c>
      <c r="F140" s="19">
        <f t="shared" si="7"/>
        <v>0</v>
      </c>
      <c r="I140" s="17">
        <v>0</v>
      </c>
      <c r="J140" s="17">
        <v>0</v>
      </c>
      <c r="K140" s="19">
        <f t="shared" si="8"/>
        <v>0</v>
      </c>
      <c r="L140" s="19">
        <f t="shared" si="9"/>
        <v>0</v>
      </c>
      <c r="N140" s="17">
        <v>20</v>
      </c>
      <c r="O140" s="17">
        <v>20</v>
      </c>
      <c r="P140" s="19">
        <f t="shared" si="10"/>
        <v>1</v>
      </c>
      <c r="Q140" s="19">
        <f t="shared" si="11"/>
        <v>1</v>
      </c>
    </row>
    <row r="141" spans="2:17" x14ac:dyDescent="0.2">
      <c r="B141" s="21">
        <v>0</v>
      </c>
      <c r="C141" s="17">
        <v>0</v>
      </c>
      <c r="E141" s="19">
        <f t="shared" si="6"/>
        <v>0</v>
      </c>
      <c r="F141" s="19">
        <f t="shared" si="7"/>
        <v>0</v>
      </c>
      <c r="I141" s="17">
        <v>0</v>
      </c>
      <c r="J141" s="17">
        <v>0</v>
      </c>
      <c r="K141" s="19">
        <f t="shared" si="8"/>
        <v>0</v>
      </c>
      <c r="L141" s="19">
        <f t="shared" si="9"/>
        <v>0</v>
      </c>
      <c r="N141" s="17">
        <v>0</v>
      </c>
      <c r="O141" s="17">
        <v>0</v>
      </c>
      <c r="P141" s="19">
        <f t="shared" si="10"/>
        <v>0</v>
      </c>
      <c r="Q141" s="19">
        <f t="shared" si="11"/>
        <v>0</v>
      </c>
    </row>
    <row r="142" spans="2:17" x14ac:dyDescent="0.2">
      <c r="B142" s="17">
        <v>0</v>
      </c>
      <c r="C142" s="17">
        <v>0</v>
      </c>
      <c r="E142" s="19">
        <f t="shared" si="6"/>
        <v>0</v>
      </c>
      <c r="F142" s="19">
        <f t="shared" si="7"/>
        <v>0</v>
      </c>
      <c r="I142" s="17">
        <v>0</v>
      </c>
      <c r="J142" s="17">
        <v>0</v>
      </c>
      <c r="K142" s="19">
        <f t="shared" si="8"/>
        <v>0</v>
      </c>
      <c r="L142" s="19">
        <f t="shared" si="9"/>
        <v>0</v>
      </c>
      <c r="N142" s="17">
        <v>0</v>
      </c>
      <c r="O142" s="17">
        <v>0</v>
      </c>
      <c r="P142" s="19">
        <f t="shared" si="10"/>
        <v>0</v>
      </c>
      <c r="Q142" s="19">
        <f t="shared" si="11"/>
        <v>0</v>
      </c>
    </row>
    <row r="143" spans="2:17" ht="17" customHeight="1" x14ac:dyDescent="0.2">
      <c r="B143" s="17">
        <v>0</v>
      </c>
      <c r="C143" s="17">
        <v>0</v>
      </c>
      <c r="E143" s="19">
        <f t="shared" si="6"/>
        <v>0</v>
      </c>
      <c r="F143" s="19">
        <f t="shared" si="7"/>
        <v>0</v>
      </c>
      <c r="I143" s="17">
        <v>0</v>
      </c>
      <c r="J143" s="17">
        <v>0</v>
      </c>
      <c r="K143" s="19">
        <f t="shared" si="8"/>
        <v>0</v>
      </c>
      <c r="L143" s="19">
        <f t="shared" si="9"/>
        <v>0</v>
      </c>
      <c r="N143" s="17">
        <v>0</v>
      </c>
      <c r="O143" s="17">
        <v>0</v>
      </c>
      <c r="P143" s="19">
        <f t="shared" si="10"/>
        <v>0</v>
      </c>
      <c r="Q143" s="19">
        <f t="shared" si="11"/>
        <v>0</v>
      </c>
    </row>
    <row r="144" spans="2:17" x14ac:dyDescent="0.2">
      <c r="B144" s="17">
        <v>14</v>
      </c>
      <c r="C144" s="17">
        <v>14</v>
      </c>
      <c r="E144" s="19">
        <f t="shared" si="6"/>
        <v>0.7</v>
      </c>
      <c r="F144" s="19">
        <f t="shared" si="7"/>
        <v>0.7</v>
      </c>
      <c r="I144" s="17">
        <v>2</v>
      </c>
      <c r="J144" s="17">
        <v>0</v>
      </c>
      <c r="K144" s="19">
        <f t="shared" si="8"/>
        <v>0.1</v>
      </c>
      <c r="L144" s="19">
        <f t="shared" si="9"/>
        <v>0</v>
      </c>
      <c r="N144" s="17">
        <v>20</v>
      </c>
      <c r="O144" s="17">
        <v>20</v>
      </c>
      <c r="P144" s="19">
        <f t="shared" si="10"/>
        <v>1</v>
      </c>
      <c r="Q144" s="19">
        <f t="shared" si="11"/>
        <v>1</v>
      </c>
    </row>
    <row r="145" spans="2:17" x14ac:dyDescent="0.2">
      <c r="B145" s="17">
        <v>0</v>
      </c>
      <c r="C145" s="17">
        <v>0</v>
      </c>
      <c r="E145" s="19">
        <f t="shared" si="6"/>
        <v>0</v>
      </c>
      <c r="F145" s="19">
        <f t="shared" si="7"/>
        <v>0</v>
      </c>
      <c r="I145" s="17">
        <v>0</v>
      </c>
      <c r="J145" s="17">
        <v>0</v>
      </c>
      <c r="K145" s="19">
        <f t="shared" si="8"/>
        <v>0</v>
      </c>
      <c r="L145" s="19">
        <f t="shared" si="9"/>
        <v>0</v>
      </c>
      <c r="N145" s="17">
        <v>2</v>
      </c>
      <c r="O145" s="17">
        <v>2</v>
      </c>
      <c r="P145" s="19">
        <f t="shared" si="10"/>
        <v>0.1</v>
      </c>
      <c r="Q145" s="19">
        <f t="shared" si="11"/>
        <v>0.1</v>
      </c>
    </row>
    <row r="146" spans="2:17" x14ac:dyDescent="0.2">
      <c r="B146" s="17">
        <v>20</v>
      </c>
      <c r="C146" s="17">
        <v>0</v>
      </c>
      <c r="E146" s="19">
        <f t="shared" si="6"/>
        <v>1</v>
      </c>
      <c r="F146" s="19">
        <f t="shared" si="7"/>
        <v>0</v>
      </c>
      <c r="I146" s="17">
        <v>0</v>
      </c>
      <c r="J146" s="17">
        <v>0</v>
      </c>
      <c r="K146" s="19">
        <f t="shared" si="8"/>
        <v>0</v>
      </c>
      <c r="L146" s="19">
        <f t="shared" si="9"/>
        <v>0</v>
      </c>
      <c r="N146" s="17">
        <v>20</v>
      </c>
      <c r="O146" s="17">
        <v>20</v>
      </c>
      <c r="P146" s="19">
        <f t="shared" si="10"/>
        <v>1</v>
      </c>
      <c r="Q146" s="19">
        <f t="shared" si="11"/>
        <v>1</v>
      </c>
    </row>
    <row r="147" spans="2:17" x14ac:dyDescent="0.2">
      <c r="B147" s="17">
        <v>0</v>
      </c>
      <c r="C147" s="17">
        <v>0</v>
      </c>
      <c r="E147" s="19">
        <f t="shared" si="6"/>
        <v>0</v>
      </c>
      <c r="F147" s="19">
        <f t="shared" si="7"/>
        <v>0</v>
      </c>
      <c r="I147" s="17">
        <v>0</v>
      </c>
      <c r="J147" s="17">
        <v>0</v>
      </c>
      <c r="K147" s="19">
        <f t="shared" si="8"/>
        <v>0</v>
      </c>
      <c r="L147" s="19">
        <f t="shared" si="9"/>
        <v>0</v>
      </c>
      <c r="N147" s="17">
        <v>20</v>
      </c>
      <c r="O147" s="17">
        <v>20</v>
      </c>
      <c r="P147" s="19">
        <f t="shared" si="10"/>
        <v>1</v>
      </c>
      <c r="Q147" s="19">
        <f t="shared" si="11"/>
        <v>1</v>
      </c>
    </row>
    <row r="148" spans="2:17" x14ac:dyDescent="0.2">
      <c r="B148" s="17">
        <v>0</v>
      </c>
      <c r="C148" s="17">
        <v>0</v>
      </c>
      <c r="E148" s="19">
        <f t="shared" si="6"/>
        <v>0</v>
      </c>
      <c r="F148" s="19">
        <f t="shared" si="7"/>
        <v>0</v>
      </c>
      <c r="I148" s="17">
        <v>0</v>
      </c>
      <c r="J148" s="17">
        <v>0</v>
      </c>
      <c r="K148" s="19">
        <f t="shared" si="8"/>
        <v>0</v>
      </c>
      <c r="L148" s="19">
        <f t="shared" si="9"/>
        <v>0</v>
      </c>
      <c r="N148" s="17">
        <v>0</v>
      </c>
      <c r="O148" s="17">
        <v>0</v>
      </c>
      <c r="P148" s="19">
        <f t="shared" si="10"/>
        <v>0</v>
      </c>
      <c r="Q148" s="19">
        <f t="shared" si="11"/>
        <v>0</v>
      </c>
    </row>
    <row r="149" spans="2:17" x14ac:dyDescent="0.2">
      <c r="B149" s="17">
        <v>0</v>
      </c>
      <c r="C149" s="17">
        <v>0</v>
      </c>
      <c r="E149" s="19">
        <f t="shared" si="6"/>
        <v>0</v>
      </c>
      <c r="F149" s="19">
        <f t="shared" si="7"/>
        <v>0</v>
      </c>
      <c r="I149" s="17">
        <v>0</v>
      </c>
      <c r="J149" s="17">
        <v>0</v>
      </c>
      <c r="K149" s="19">
        <f t="shared" si="8"/>
        <v>0</v>
      </c>
      <c r="L149" s="19">
        <f t="shared" si="9"/>
        <v>0</v>
      </c>
      <c r="N149" s="17">
        <v>0</v>
      </c>
      <c r="O149" s="17">
        <v>0</v>
      </c>
      <c r="P149" s="19">
        <f t="shared" si="10"/>
        <v>0</v>
      </c>
      <c r="Q149" s="19">
        <f t="shared" si="11"/>
        <v>0</v>
      </c>
    </row>
    <row r="150" spans="2:17" x14ac:dyDescent="0.2">
      <c r="B150" s="17">
        <v>0</v>
      </c>
      <c r="C150" s="17">
        <v>0</v>
      </c>
      <c r="E150" s="19">
        <f t="shared" si="6"/>
        <v>0</v>
      </c>
      <c r="F150" s="19">
        <f t="shared" si="7"/>
        <v>0</v>
      </c>
      <c r="I150" s="17">
        <v>0</v>
      </c>
      <c r="J150" s="17">
        <v>0</v>
      </c>
      <c r="K150" s="19">
        <f t="shared" si="8"/>
        <v>0</v>
      </c>
      <c r="L150" s="19">
        <f t="shared" si="9"/>
        <v>0</v>
      </c>
      <c r="N150" s="17">
        <v>19</v>
      </c>
      <c r="O150" s="17">
        <v>19</v>
      </c>
      <c r="P150" s="19">
        <f t="shared" si="10"/>
        <v>0.95</v>
      </c>
      <c r="Q150" s="19">
        <f t="shared" si="11"/>
        <v>0.95</v>
      </c>
    </row>
    <row r="151" spans="2:17" x14ac:dyDescent="0.2">
      <c r="K151" s="17"/>
    </row>
    <row r="169" spans="8:8" x14ac:dyDescent="0.2">
      <c r="H169" t="s">
        <v>223</v>
      </c>
    </row>
  </sheetData>
  <pageMargins left="0.7" right="0.7" top="0.75" bottom="0.75" header="0.3" footer="0.3"/>
  <pageSetup paperSize="9"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1AB9-8623-5C44-BD7E-04FA29C72AE6}">
  <dimension ref="A1:A41"/>
  <sheetViews>
    <sheetView topLeftCell="A15" workbookViewId="0">
      <selection activeCell="A5" sqref="A5"/>
    </sheetView>
  </sheetViews>
  <sheetFormatPr baseColWidth="10" defaultRowHeight="16" x14ac:dyDescent="0.2"/>
  <sheetData>
    <row r="1" spans="1:1" x14ac:dyDescent="0.2">
      <c r="A1" s="37" t="s">
        <v>218</v>
      </c>
    </row>
    <row r="3" spans="1:1" x14ac:dyDescent="0.2">
      <c r="A3" s="37" t="s">
        <v>224</v>
      </c>
    </row>
    <row r="5" spans="1:1" x14ac:dyDescent="0.2">
      <c r="A5" s="38" t="s">
        <v>225</v>
      </c>
    </row>
    <row r="7" spans="1:1" x14ac:dyDescent="0.2">
      <c r="A7" s="38" t="s">
        <v>226</v>
      </c>
    </row>
    <row r="9" spans="1:1" x14ac:dyDescent="0.2">
      <c r="A9" s="38"/>
    </row>
    <row r="11" spans="1:1" x14ac:dyDescent="0.2">
      <c r="A11" s="38" t="s">
        <v>214</v>
      </c>
    </row>
    <row r="13" spans="1:1" x14ac:dyDescent="0.2">
      <c r="A13" s="37" t="s">
        <v>227</v>
      </c>
    </row>
    <row r="15" spans="1:1" x14ac:dyDescent="0.2">
      <c r="A15" s="38" t="s">
        <v>228</v>
      </c>
    </row>
    <row r="17" spans="1:1" x14ac:dyDescent="0.2">
      <c r="A17" s="38" t="s">
        <v>229</v>
      </c>
    </row>
    <row r="19" spans="1:1" x14ac:dyDescent="0.2">
      <c r="A19" s="38"/>
    </row>
    <row r="21" spans="1:1" x14ac:dyDescent="0.2">
      <c r="A21" s="38" t="s">
        <v>215</v>
      </c>
    </row>
    <row r="23" spans="1:1" x14ac:dyDescent="0.2">
      <c r="A23" s="37" t="s">
        <v>230</v>
      </c>
    </row>
    <row r="25" spans="1:1" x14ac:dyDescent="0.2">
      <c r="A25" s="38" t="s">
        <v>231</v>
      </c>
    </row>
    <row r="27" spans="1:1" x14ac:dyDescent="0.2">
      <c r="A27" s="38" t="s">
        <v>232</v>
      </c>
    </row>
    <row r="29" spans="1:1" x14ac:dyDescent="0.2">
      <c r="A29" s="37"/>
    </row>
    <row r="31" spans="1:1" x14ac:dyDescent="0.2">
      <c r="A31" s="37" t="s">
        <v>216</v>
      </c>
    </row>
    <row r="33" spans="1:1" x14ac:dyDescent="0.2">
      <c r="A33" s="37"/>
    </row>
    <row r="35" spans="1:1" x14ac:dyDescent="0.2">
      <c r="A35" s="37" t="s">
        <v>217</v>
      </c>
    </row>
    <row r="37" spans="1:1" x14ac:dyDescent="0.2">
      <c r="A37" s="37" t="s">
        <v>233</v>
      </c>
    </row>
    <row r="39" spans="1:1" x14ac:dyDescent="0.2">
      <c r="A39" s="38" t="s">
        <v>234</v>
      </c>
    </row>
    <row r="40" spans="1:1" x14ac:dyDescent="0.2">
      <c r="A40" s="5"/>
    </row>
    <row r="41" spans="1:1" x14ac:dyDescent="0.2">
      <c r="A41" s="5" t="s">
        <v>235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44C4-8F48-594A-BAE5-0CEB26303BA9}">
  <dimension ref="A1:F40"/>
  <sheetViews>
    <sheetView workbookViewId="0">
      <selection activeCell="C4" sqref="C4"/>
    </sheetView>
  </sheetViews>
  <sheetFormatPr baseColWidth="10" defaultRowHeight="16" x14ac:dyDescent="0.2"/>
  <sheetData>
    <row r="1" spans="1:6" x14ac:dyDescent="0.2">
      <c r="A1" s="2" t="s">
        <v>285</v>
      </c>
    </row>
    <row r="2" spans="1:6" x14ac:dyDescent="0.2">
      <c r="A2" t="s">
        <v>278</v>
      </c>
      <c r="B2">
        <v>15</v>
      </c>
      <c r="D2">
        <v>114</v>
      </c>
    </row>
    <row r="3" spans="1:6" x14ac:dyDescent="0.2">
      <c r="A3" t="s">
        <v>272</v>
      </c>
    </row>
    <row r="4" spans="1:6" x14ac:dyDescent="0.2">
      <c r="A4" t="s">
        <v>274</v>
      </c>
      <c r="B4" t="s">
        <v>286</v>
      </c>
      <c r="C4" t="s">
        <v>288</v>
      </c>
      <c r="D4" t="s">
        <v>276</v>
      </c>
      <c r="F4" t="s">
        <v>277</v>
      </c>
    </row>
    <row r="5" spans="1:6" x14ac:dyDescent="0.2">
      <c r="A5" s="45" t="s">
        <v>281</v>
      </c>
      <c r="B5">
        <f xml:space="preserve"> 3657*20</f>
        <v>73140</v>
      </c>
      <c r="C5">
        <f>B5/20</f>
        <v>3657</v>
      </c>
      <c r="D5">
        <f>C5/15</f>
        <v>243.8</v>
      </c>
      <c r="E5">
        <f>C5/D2</f>
        <v>32.078947368421055</v>
      </c>
    </row>
    <row r="6" spans="1:6" x14ac:dyDescent="0.2">
      <c r="A6" s="46" t="s">
        <v>280</v>
      </c>
      <c r="B6" s="5">
        <f>68539+120565</f>
        <v>189104</v>
      </c>
      <c r="C6">
        <f t="shared" ref="C6:C10" si="0">B6/20</f>
        <v>9455.2000000000007</v>
      </c>
      <c r="D6">
        <f t="shared" ref="D6:D10" si="1">C6/15</f>
        <v>630.34666666666669</v>
      </c>
      <c r="E6">
        <f>C6/D2</f>
        <v>82.940350877192984</v>
      </c>
    </row>
    <row r="7" spans="1:6" x14ac:dyDescent="0.2">
      <c r="A7" s="44" t="s">
        <v>282</v>
      </c>
      <c r="B7">
        <v>31490.53</v>
      </c>
      <c r="C7">
        <f t="shared" si="0"/>
        <v>1574.5264999999999</v>
      </c>
      <c r="D7">
        <f t="shared" si="1"/>
        <v>104.96843333333332</v>
      </c>
      <c r="E7">
        <f>C7/D2</f>
        <v>13.811635964912281</v>
      </c>
    </row>
    <row r="8" spans="1:6" x14ac:dyDescent="0.2">
      <c r="A8" s="47" t="s">
        <v>279</v>
      </c>
      <c r="B8">
        <v>74551.8</v>
      </c>
      <c r="C8">
        <f t="shared" si="0"/>
        <v>3727.59</v>
      </c>
      <c r="D8">
        <f t="shared" si="1"/>
        <v>248.506</v>
      </c>
      <c r="E8">
        <f>C8/D2</f>
        <v>32.698157894736845</v>
      </c>
    </row>
    <row r="9" spans="1:6" x14ac:dyDescent="0.2">
      <c r="A9" s="47" t="s">
        <v>283</v>
      </c>
      <c r="B9">
        <v>63756</v>
      </c>
      <c r="C9">
        <f t="shared" si="0"/>
        <v>3187.8</v>
      </c>
      <c r="D9">
        <f t="shared" si="1"/>
        <v>212.52</v>
      </c>
      <c r="E9">
        <f>C9/D2</f>
        <v>27.963157894736845</v>
      </c>
    </row>
    <row r="10" spans="1:6" x14ac:dyDescent="0.2">
      <c r="A10" s="48" t="s">
        <v>284</v>
      </c>
      <c r="B10">
        <v>61100.47</v>
      </c>
      <c r="C10">
        <f t="shared" si="0"/>
        <v>3055.0235000000002</v>
      </c>
      <c r="D10">
        <f t="shared" si="1"/>
        <v>203.66823333333335</v>
      </c>
      <c r="E10">
        <f>C10/D2</f>
        <v>26.798451754385965</v>
      </c>
    </row>
    <row r="11" spans="1:6" x14ac:dyDescent="0.2">
      <c r="A11" s="47"/>
    </row>
    <row r="12" spans="1:6" x14ac:dyDescent="0.2">
      <c r="A12" s="44" t="s">
        <v>50</v>
      </c>
    </row>
    <row r="13" spans="1:6" x14ac:dyDescent="0.2">
      <c r="A13" s="44" t="s">
        <v>53</v>
      </c>
    </row>
    <row r="14" spans="1:6" x14ac:dyDescent="0.2">
      <c r="A14" s="44" t="s">
        <v>172</v>
      </c>
    </row>
    <row r="15" spans="1:6" x14ac:dyDescent="0.2">
      <c r="A15" s="44" t="s">
        <v>6</v>
      </c>
    </row>
    <row r="16" spans="1:6" x14ac:dyDescent="0.2">
      <c r="A16" s="44"/>
    </row>
    <row r="17" spans="1:4" x14ac:dyDescent="0.2">
      <c r="A17" s="2" t="s">
        <v>273</v>
      </c>
    </row>
    <row r="18" spans="1:4" x14ac:dyDescent="0.2">
      <c r="A18" s="44" t="s">
        <v>243</v>
      </c>
      <c r="B18">
        <v>10</v>
      </c>
    </row>
    <row r="19" spans="1:4" x14ac:dyDescent="0.2">
      <c r="A19" s="44" t="s">
        <v>251</v>
      </c>
      <c r="B19">
        <v>10</v>
      </c>
    </row>
    <row r="20" spans="1:4" x14ac:dyDescent="0.2">
      <c r="A20" s="44" t="s">
        <v>252</v>
      </c>
      <c r="B20">
        <v>10</v>
      </c>
    </row>
    <row r="22" spans="1:4" x14ac:dyDescent="0.2">
      <c r="A22" t="s">
        <v>294</v>
      </c>
    </row>
    <row r="23" spans="1:4" x14ac:dyDescent="0.2">
      <c r="A23" s="44" t="s">
        <v>274</v>
      </c>
      <c r="B23" t="s">
        <v>275</v>
      </c>
      <c r="C23" t="s">
        <v>276</v>
      </c>
      <c r="D23" s="49" t="s">
        <v>287</v>
      </c>
    </row>
    <row r="24" spans="1:4" x14ac:dyDescent="0.2">
      <c r="A24" s="45" t="s">
        <v>281</v>
      </c>
      <c r="B24">
        <v>28823</v>
      </c>
      <c r="C24">
        <f>B24/30</f>
        <v>960.76666666666665</v>
      </c>
      <c r="D24" s="49">
        <f>C24-D5</f>
        <v>716.9666666666667</v>
      </c>
    </row>
    <row r="25" spans="1:4" x14ac:dyDescent="0.2">
      <c r="A25" s="46" t="s">
        <v>280</v>
      </c>
      <c r="B25">
        <v>14053</v>
      </c>
      <c r="C25">
        <f t="shared" ref="C25:C30" si="2">B25/30</f>
        <v>468.43333333333334</v>
      </c>
      <c r="D25" s="49">
        <f>C25-D6</f>
        <v>-161.91333333333336</v>
      </c>
    </row>
    <row r="26" spans="1:4" x14ac:dyDescent="0.2">
      <c r="A26" s="44" t="s">
        <v>282</v>
      </c>
      <c r="B26">
        <v>10974</v>
      </c>
      <c r="C26">
        <f t="shared" si="2"/>
        <v>365.8</v>
      </c>
      <c r="D26" s="49">
        <f>C26-D7</f>
        <v>260.83156666666667</v>
      </c>
    </row>
    <row r="27" spans="1:4" x14ac:dyDescent="0.2">
      <c r="A27" s="47" t="s">
        <v>279</v>
      </c>
      <c r="B27">
        <v>12205</v>
      </c>
      <c r="C27">
        <f t="shared" si="2"/>
        <v>406.83333333333331</v>
      </c>
      <c r="D27" s="49">
        <f>C27-D8</f>
        <v>158.32733333333331</v>
      </c>
    </row>
    <row r="28" spans="1:4" x14ac:dyDescent="0.2">
      <c r="A28" s="47" t="s">
        <v>283</v>
      </c>
      <c r="B28">
        <v>12845</v>
      </c>
      <c r="C28">
        <f t="shared" si="2"/>
        <v>428.16666666666669</v>
      </c>
      <c r="D28" s="49">
        <f>C28-D9</f>
        <v>215.64666666666668</v>
      </c>
    </row>
    <row r="29" spans="1:4" x14ac:dyDescent="0.2">
      <c r="A29" s="48" t="s">
        <v>284</v>
      </c>
      <c r="B29">
        <v>10743</v>
      </c>
      <c r="C29">
        <f t="shared" si="2"/>
        <v>358.1</v>
      </c>
      <c r="D29" s="49">
        <f>C29-D10</f>
        <v>154.43176666666668</v>
      </c>
    </row>
    <row r="30" spans="1:4" x14ac:dyDescent="0.2">
      <c r="A30" s="48" t="s">
        <v>253</v>
      </c>
      <c r="B30">
        <v>11957</v>
      </c>
      <c r="C30">
        <f t="shared" si="2"/>
        <v>398.56666666666666</v>
      </c>
      <c r="D30" s="49" t="s">
        <v>35</v>
      </c>
    </row>
    <row r="32" spans="1:4" x14ac:dyDescent="0.2">
      <c r="A32" t="s">
        <v>295</v>
      </c>
    </row>
    <row r="33" spans="1:4" x14ac:dyDescent="0.2">
      <c r="A33" s="44" t="s">
        <v>274</v>
      </c>
      <c r="B33" t="s">
        <v>275</v>
      </c>
      <c r="C33" t="s">
        <v>276</v>
      </c>
      <c r="D33" s="49" t="s">
        <v>287</v>
      </c>
    </row>
    <row r="34" spans="1:4" x14ac:dyDescent="0.2">
      <c r="A34" s="45" t="s">
        <v>281</v>
      </c>
      <c r="B34" s="5">
        <v>9428</v>
      </c>
      <c r="C34">
        <f>B34/10</f>
        <v>942.8</v>
      </c>
      <c r="D34" s="49">
        <f>C34-D5</f>
        <v>699</v>
      </c>
    </row>
    <row r="35" spans="1:4" x14ac:dyDescent="0.2">
      <c r="A35" s="46" t="s">
        <v>280</v>
      </c>
      <c r="B35" s="5">
        <v>2607</v>
      </c>
      <c r="C35">
        <f t="shared" ref="C35:C40" si="3">B35/10</f>
        <v>260.7</v>
      </c>
      <c r="D35" s="49">
        <f>C35-D6</f>
        <v>-369.6466666666667</v>
      </c>
    </row>
    <row r="36" spans="1:4" x14ac:dyDescent="0.2">
      <c r="A36" s="44" t="s">
        <v>282</v>
      </c>
      <c r="B36" s="5">
        <v>2551</v>
      </c>
      <c r="C36">
        <f t="shared" si="3"/>
        <v>255.1</v>
      </c>
      <c r="D36" s="49">
        <f>C36-D7</f>
        <v>150.13156666666669</v>
      </c>
    </row>
    <row r="37" spans="1:4" x14ac:dyDescent="0.2">
      <c r="A37" s="47" t="s">
        <v>279</v>
      </c>
      <c r="B37" s="5">
        <v>3690</v>
      </c>
      <c r="C37">
        <f t="shared" si="3"/>
        <v>369</v>
      </c>
      <c r="D37" s="49">
        <f>C37-D8</f>
        <v>120.494</v>
      </c>
    </row>
    <row r="38" spans="1:4" x14ac:dyDescent="0.2">
      <c r="A38" s="47" t="s">
        <v>283</v>
      </c>
      <c r="B38" s="5">
        <f>4082+490</f>
        <v>4572</v>
      </c>
      <c r="C38">
        <f t="shared" si="3"/>
        <v>457.2</v>
      </c>
      <c r="D38" s="49">
        <f>C38-D9</f>
        <v>244.67999999999998</v>
      </c>
    </row>
    <row r="39" spans="1:4" x14ac:dyDescent="0.2">
      <c r="A39" s="48" t="s">
        <v>284</v>
      </c>
      <c r="B39" s="5">
        <v>2657</v>
      </c>
      <c r="C39">
        <f t="shared" si="3"/>
        <v>265.7</v>
      </c>
      <c r="D39" s="49">
        <f>C39-D10</f>
        <v>62.031766666666641</v>
      </c>
    </row>
    <row r="40" spans="1:4" x14ac:dyDescent="0.2">
      <c r="A40" s="48" t="s">
        <v>253</v>
      </c>
      <c r="B40" s="5">
        <v>4092</v>
      </c>
      <c r="C40">
        <f t="shared" si="3"/>
        <v>409.2</v>
      </c>
      <c r="D40" s="49" t="s">
        <v>35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9</vt:i4>
      </vt:variant>
      <vt:variant>
        <vt:lpstr>Plages nommées</vt:lpstr>
      </vt:variant>
      <vt:variant>
        <vt:i4>6</vt:i4>
      </vt:variant>
    </vt:vector>
  </HeadingPairs>
  <TitlesOfParts>
    <vt:vector size="15" baseType="lpstr">
      <vt:lpstr>effectiveness V1</vt:lpstr>
      <vt:lpstr>effectiveness IMG</vt:lpstr>
      <vt:lpstr>code gen</vt:lpstr>
      <vt:lpstr>clarity</vt:lpstr>
      <vt:lpstr>consistency</vt:lpstr>
      <vt:lpstr>soundness</vt:lpstr>
      <vt:lpstr>laxness</vt:lpstr>
      <vt:lpstr>time</vt:lpstr>
      <vt:lpstr>time2 (enase)</vt:lpstr>
      <vt:lpstr>time!OLE_LINK2</vt:lpstr>
      <vt:lpstr>time!OLE_LINK3</vt:lpstr>
      <vt:lpstr>time!OLE_LINK4</vt:lpstr>
      <vt:lpstr>time!OLE_LINK5</vt:lpstr>
      <vt:lpstr>time!OLE_LINK6</vt:lpstr>
      <vt:lpstr>time!OLE_LINK7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Sebastien SALVA</dc:creator>
  <cp:lastModifiedBy>Sebastien SALVA</cp:lastModifiedBy>
  <dcterms:created xsi:type="dcterms:W3CDTF">2025-06-20T19:15:28Z</dcterms:created>
  <dcterms:modified xsi:type="dcterms:W3CDTF">2026-08-24T15:52:28Z</dcterms:modified>
</cp:coreProperties>
</file>